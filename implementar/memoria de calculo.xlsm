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eu Drive\Orçamentos\Energia Solar\Negociação\Marcelândia\João Batista Antunes - Marcelândia\"/>
    </mc:Choice>
  </mc:AlternateContent>
  <xr:revisionPtr revIDLastSave="0" documentId="13_ncr:1_{1C78E6D7-3FC6-4620-91B6-9B889486FC78}" xr6:coauthVersionLast="47" xr6:coauthVersionMax="47" xr10:uidLastSave="{00000000-0000-0000-0000-000000000000}"/>
  <bookViews>
    <workbookView xWindow="-120" yWindow="-120" windowWidth="38640" windowHeight="16440" xr2:uid="{00000000-000D-0000-FFFF-FFFF00000000}"/>
  </bookViews>
  <sheets>
    <sheet name="Sistema" sheetId="3" r:id="rId1"/>
    <sheet name="Energia" sheetId="1" r:id="rId2"/>
    <sheet name="Financeiro" sheetId="6" r:id="rId3"/>
    <sheet name="Database" sheetId="2" r:id="rId4"/>
    <sheet name="Auxiliar" sheetId="8" r:id="rId5"/>
  </sheets>
  <definedNames>
    <definedName name="Aliquota_imposto">Sistema!$J$18</definedName>
    <definedName name="_xlnm.Print_Area" localSheetId="1">Energia!$A$1:$E$31</definedName>
    <definedName name="_xlnm.Print_Area" localSheetId="0">Sistema!$A$1:$F$44</definedName>
    <definedName name="Cidade">Energia!#REF!</definedName>
    <definedName name="Consumo_anual">Energia!$H$10</definedName>
    <definedName name="Consumo_Mensal">Sistema!$F$8</definedName>
    <definedName name="Custo_calculado">Sistema!$J$14</definedName>
    <definedName name="Custo_final_sistema">Sistema!$J$15</definedName>
    <definedName name="Custos_adicionais">Sistema!$J$11</definedName>
    <definedName name="Dif_custo">Sistema!$J$20</definedName>
    <definedName name="Fab_Inv">Sistema!$B$15</definedName>
    <definedName name="Fab_Mod">Sistema!$B$14</definedName>
    <definedName name="Fator_de_preço">Sistema!$J$12</definedName>
    <definedName name="Gasto_anual_Aprox">Sistema!$A$25</definedName>
    <definedName name="Geração_Total">Energia!$H$11</definedName>
    <definedName name="Inclinação">Energia!$H$2</definedName>
    <definedName name="Inflação_anual">Financeiro!$R$1</definedName>
    <definedName name="Ligacao">Sistema!$B$8</definedName>
    <definedName name="Mod_Inv">Sistema!$C$15</definedName>
    <definedName name="Mod_Mod">Sistema!$C$14</definedName>
    <definedName name="Negociador">Sistema!$B$11</definedName>
    <definedName name="Orientacao">Energia!$H$1</definedName>
    <definedName name="P_sis">Energia!$H$3</definedName>
    <definedName name="Payback">Financeiro!$R$2</definedName>
    <definedName name="Pot._do_Sistema">Sistema!$B$19</definedName>
    <definedName name="Pot_do_sis">Energia!$H$3</definedName>
    <definedName name="Pot_Inversor">Sistema!$D$15</definedName>
    <definedName name="Pot_modulo">Sistema!$D$14</definedName>
    <definedName name="Pot_real_do_sistema">Sistema!$F$19</definedName>
    <definedName name="Potencia_do_inversor">Sistema!$D$15</definedName>
    <definedName name="Preço_calculado">Sistema!$J$13</definedName>
    <definedName name="Preço_de_venda_final">Sistema!$J$16</definedName>
    <definedName name="Qtde._de_inv.">Sistema!$A$21</definedName>
    <definedName name="Qtde_min_de_modulos">Sistema!$D$19</definedName>
    <definedName name="Rendimento">Energia!$H$4</definedName>
    <definedName name="Tipo">Sistema!$B$9</definedName>
    <definedName name="TIR">Financeiro!$R$13</definedName>
    <definedName name="Valor">Sistema!$F$21</definedName>
    <definedName name="Valor_do_imposto">Sistema!$J$19</definedName>
    <definedName name="Valor_do_investimento">Sistema!$C$25</definedName>
    <definedName name="Valor_do_kit">Sistema!$J$9</definedName>
    <definedName name="Valor_Médio">Sistema!$F$7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8" i="2" l="1"/>
  <c r="W7" i="2"/>
  <c r="W8" i="2"/>
  <c r="W9" i="2"/>
  <c r="J19" i="3" l="1"/>
  <c r="U19" i="6"/>
  <c r="U20" i="6" s="1"/>
  <c r="U21" i="6" s="1"/>
  <c r="S36" i="8" a="1"/>
  <c r="S36" i="8" s="1"/>
  <c r="R36" i="8" a="1"/>
  <c r="R36" i="8" s="1"/>
  <c r="D11" i="3"/>
  <c r="F9" i="3"/>
  <c r="P36" i="8" a="1"/>
  <c r="O36" i="8" a="1"/>
  <c r="N36" i="8" a="1"/>
  <c r="M36" i="8" a="1"/>
  <c r="L36" i="8" a="1"/>
  <c r="I36" i="8" a="1"/>
  <c r="I36" i="8" s="1"/>
  <c r="J36" i="8" s="1" a="1"/>
  <c r="J36" i="8" s="1"/>
  <c r="G36" i="8" a="1"/>
  <c r="F36" i="8" a="1"/>
  <c r="E36" i="8" a="1"/>
  <c r="D36" i="8" a="1"/>
  <c r="A36" i="8" a="1"/>
  <c r="A36" i="8" s="1"/>
  <c r="B36" i="8" s="1" a="1"/>
  <c r="B36" i="8" s="1"/>
  <c r="D3" i="1" a="1"/>
  <c r="D3" i="1" s="1"/>
  <c r="D4" i="1" a="1"/>
  <c r="D4" i="1" s="1"/>
  <c r="D5" i="1" a="1"/>
  <c r="D5" i="1" s="1"/>
  <c r="D6" i="1" a="1"/>
  <c r="D6" i="1" s="1"/>
  <c r="D7" i="1" a="1"/>
  <c r="D7" i="1" s="1"/>
  <c r="D8" i="1" a="1"/>
  <c r="D8" i="1" s="1"/>
  <c r="D9" i="1" a="1"/>
  <c r="D9" i="1" s="1"/>
  <c r="D10" i="1" a="1"/>
  <c r="D10" i="1" s="1"/>
  <c r="D11" i="1" a="1"/>
  <c r="D11" i="1" s="1"/>
  <c r="D12" i="1" a="1"/>
  <c r="D12" i="1" s="1"/>
  <c r="D13" i="1" a="1"/>
  <c r="D13" i="1" s="1"/>
  <c r="D2" i="1" a="1"/>
  <c r="D2" i="1" s="1"/>
  <c r="B21" i="8" a="1"/>
  <c r="B21" i="8" s="1"/>
  <c r="B22" i="8" a="1"/>
  <c r="B22" i="8" s="1"/>
  <c r="B23" i="8" a="1"/>
  <c r="B23" i="8" s="1"/>
  <c r="B24" i="8" a="1"/>
  <c r="B24" i="8" s="1"/>
  <c r="B25" i="8" a="1"/>
  <c r="B25" i="8" s="1"/>
  <c r="B26" i="8" a="1"/>
  <c r="B26" i="8" s="1"/>
  <c r="B27" i="8" a="1"/>
  <c r="B27" i="8" s="1"/>
  <c r="B28" i="8" a="1"/>
  <c r="B28" i="8" s="1"/>
  <c r="B29" i="8" a="1"/>
  <c r="B29" i="8" s="1"/>
  <c r="B30" i="8" a="1"/>
  <c r="B30" i="8" s="1"/>
  <c r="B31" i="8" a="1"/>
  <c r="B31" i="8" s="1"/>
  <c r="B20" i="8" a="1"/>
  <c r="B20" i="8" s="1"/>
  <c r="P36" i="8" l="1"/>
  <c r="L36" i="8"/>
  <c r="O36" i="8"/>
  <c r="M36" i="8"/>
  <c r="N36" i="8"/>
  <c r="G36" i="8"/>
  <c r="D36" i="8"/>
  <c r="F36" i="8"/>
  <c r="E36" i="8"/>
  <c r="D14" i="3"/>
  <c r="F14" i="3"/>
  <c r="E14" i="3"/>
  <c r="E15" i="3"/>
  <c r="D15" i="3"/>
  <c r="W3" i="2"/>
  <c r="W4" i="2"/>
  <c r="W5" i="2"/>
  <c r="W6" i="2"/>
  <c r="H1" i="6"/>
  <c r="K2" i="6" s="1"/>
  <c r="E1" i="6"/>
  <c r="E2" i="6" s="1"/>
  <c r="B1" i="6"/>
  <c r="B2" i="6" s="1"/>
  <c r="B3" i="6" s="1"/>
  <c r="C2" i="1"/>
  <c r="N2" i="6"/>
  <c r="C3" i="1"/>
  <c r="C4" i="1"/>
  <c r="C5" i="1"/>
  <c r="C6" i="1"/>
  <c r="C7" i="1"/>
  <c r="C8" i="1"/>
  <c r="C9" i="1"/>
  <c r="C10" i="1"/>
  <c r="C11" i="1"/>
  <c r="C12" i="1"/>
  <c r="C13" i="1"/>
  <c r="K3" i="6" l="1"/>
  <c r="K4" i="6" s="1"/>
  <c r="K5" i="6" s="1"/>
  <c r="K6" i="6" s="1"/>
  <c r="K7" i="6" s="1"/>
  <c r="E19" i="3"/>
  <c r="H10" i="1"/>
  <c r="A25" i="3" s="1"/>
  <c r="N3" i="6" s="1"/>
  <c r="C14" i="1"/>
  <c r="B19" i="3"/>
  <c r="B21" i="3"/>
  <c r="N4" i="6" l="1"/>
  <c r="N5" i="6"/>
  <c r="N6" i="6"/>
  <c r="N7" i="6"/>
  <c r="D14" i="1"/>
  <c r="F19" i="3"/>
  <c r="J15" i="3" l="1"/>
  <c r="J7" i="3"/>
  <c r="D21" i="3"/>
  <c r="E21" i="3"/>
  <c r="H3" i="1"/>
  <c r="J10" i="3"/>
  <c r="B2" i="1" l="1"/>
  <c r="B3" i="1"/>
  <c r="B4" i="1"/>
  <c r="B5" i="1"/>
  <c r="B6" i="1"/>
  <c r="B7" i="1"/>
  <c r="B8" i="1"/>
  <c r="B9" i="1"/>
  <c r="B10" i="1"/>
  <c r="B11" i="1"/>
  <c r="B12" i="1"/>
  <c r="B13" i="1"/>
  <c r="N16" i="3"/>
  <c r="J11" i="3" s="1"/>
  <c r="J20" i="3" s="1"/>
  <c r="J13" i="3" l="1"/>
  <c r="J21" i="3"/>
  <c r="H11" i="1"/>
  <c r="E4" i="6" s="1"/>
  <c r="B14" i="1"/>
  <c r="E2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H12" i="1" l="1"/>
  <c r="E3" i="6"/>
  <c r="J14" i="3"/>
  <c r="C25" i="3"/>
  <c r="F21" i="3"/>
  <c r="E6" i="6" l="1"/>
  <c r="H6" i="6" s="1"/>
  <c r="L3" i="6" s="1"/>
  <c r="E7" i="6"/>
  <c r="H7" i="6" s="1"/>
  <c r="L4" i="6" s="1"/>
  <c r="E8" i="6"/>
  <c r="H8" i="6" s="1"/>
  <c r="L5" i="6" s="1"/>
  <c r="E9" i="6"/>
  <c r="H9" i="6" s="1"/>
  <c r="L6" i="6" s="1"/>
  <c r="E10" i="6"/>
  <c r="H10" i="6" s="1"/>
  <c r="L7" i="6" s="1"/>
  <c r="E5" i="6"/>
  <c r="D36" i="3"/>
  <c r="F36" i="3" s="1"/>
  <c r="D35" i="3"/>
  <c r="D30" i="3"/>
  <c r="D32" i="3"/>
  <c r="D33" i="3"/>
  <c r="D34" i="3"/>
  <c r="D29" i="3"/>
  <c r="F29" i="3" s="1"/>
  <c r="D31" i="3"/>
  <c r="R27" i="6"/>
  <c r="R16" i="6"/>
  <c r="R19" i="6" s="1"/>
  <c r="R20" i="6" s="1"/>
  <c r="R21" i="6" s="1"/>
  <c r="O2" i="6"/>
  <c r="R6" i="6"/>
  <c r="H5" i="6" l="1"/>
  <c r="L2" i="6" s="1"/>
  <c r="M2" i="6" s="1"/>
  <c r="R7" i="6" s="1"/>
  <c r="F31" i="3"/>
  <c r="E31" i="3"/>
  <c r="F34" i="3"/>
  <c r="E34" i="3"/>
  <c r="F32" i="3"/>
  <c r="E32" i="3"/>
  <c r="F33" i="3"/>
  <c r="E33" i="3"/>
  <c r="F35" i="3"/>
  <c r="E35" i="3"/>
  <c r="F30" i="3"/>
  <c r="E30" i="3"/>
  <c r="E36" i="3"/>
  <c r="E29" i="3"/>
  <c r="H2" i="6"/>
  <c r="O3" i="6" l="1"/>
  <c r="M3" i="6"/>
  <c r="R8" i="6" s="1"/>
  <c r="O4" i="6" l="1"/>
  <c r="M4" i="6"/>
  <c r="R9" i="6" l="1"/>
  <c r="O5" i="6"/>
  <c r="M5" i="6"/>
  <c r="R10" i="6" s="1"/>
  <c r="M6" i="6" l="1"/>
  <c r="R11" i="6" s="1"/>
  <c r="O6" i="6"/>
  <c r="M7" i="6" l="1"/>
  <c r="O7" i="6"/>
  <c r="R12" i="6" l="1"/>
  <c r="R13" i="6" s="1"/>
  <c r="E25" i="3" s="1"/>
  <c r="R2" i="6"/>
  <c r="F25" i="3" s="1"/>
  <c r="R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Eudes</author>
    <author>Spark</author>
  </authors>
  <commentList>
    <comment ref="B3" authorId="0" shapeId="0" xr:uid="{6DB885FC-B4D3-44F3-9535-50BCC528667B}">
      <text>
        <r>
          <rPr>
            <b/>
            <sz val="9"/>
            <color indexed="81"/>
            <rFont val="Segoe UI"/>
            <family val="2"/>
          </rPr>
          <t>Nome do Cliente</t>
        </r>
      </text>
    </comment>
    <comment ref="B4" authorId="0" shapeId="0" xr:uid="{BC29BC69-7BE3-404C-893C-3455FA19253F}">
      <text>
        <r>
          <rPr>
            <b/>
            <sz val="9"/>
            <color indexed="81"/>
            <rFont val="Segoe UI"/>
            <family val="2"/>
          </rPr>
          <t>Referência:
Onde trabalha;
Marido/Esposa;
Irmão, etc.</t>
        </r>
      </text>
    </comment>
    <comment ref="F4" authorId="0" shapeId="0" xr:uid="{73B94775-88AA-4D8D-8C0E-8D4803C17925}">
      <text>
        <r>
          <rPr>
            <b/>
            <sz val="9"/>
            <color indexed="81"/>
            <rFont val="Segoe UI"/>
            <family val="2"/>
          </rPr>
          <t>Telefone para contato, somente número, com DDD</t>
        </r>
      </text>
    </comment>
    <comment ref="B5" authorId="0" shapeId="0" xr:uid="{89B62950-AA86-4254-B3C4-BA5397CC152C}">
      <text>
        <r>
          <rPr>
            <b/>
            <sz val="9"/>
            <color indexed="81"/>
            <rFont val="Segoe UI"/>
            <family val="2"/>
          </rPr>
          <t>Endereço</t>
        </r>
      </text>
    </comment>
    <comment ref="B6" authorId="0" shapeId="0" xr:uid="{7E5E2186-FC9A-4C05-8012-BE7C0968CF5D}">
      <text>
        <r>
          <rPr>
            <b/>
            <sz val="9"/>
            <color indexed="81"/>
            <rFont val="Segoe UI"/>
            <family val="2"/>
          </rPr>
          <t>Endereço</t>
        </r>
      </text>
    </comment>
    <comment ref="B7" authorId="0" shapeId="0" xr:uid="{BFCD0E35-7A12-423F-8941-24713C9AF880}">
      <text>
        <r>
          <rPr>
            <b/>
            <sz val="9"/>
            <color indexed="81"/>
            <rFont val="Segoe UI"/>
            <family val="2"/>
          </rPr>
          <t>Número da unidade consumidora</t>
        </r>
      </text>
    </comment>
    <comment ref="F7" authorId="0" shapeId="0" xr:uid="{477D7753-5E27-4EE5-B909-32E3FBD849A7}">
      <text>
        <r>
          <rPr>
            <b/>
            <sz val="9"/>
            <color indexed="81"/>
            <rFont val="Segoe UI"/>
            <family val="2"/>
          </rPr>
          <t>Valor médio do kWh pago</t>
        </r>
      </text>
    </comment>
    <comment ref="B8" authorId="0" shapeId="0" xr:uid="{0BC136BF-3F21-4919-A449-930115817BFD}">
      <text>
        <r>
          <rPr>
            <b/>
            <sz val="9"/>
            <color indexed="81"/>
            <rFont val="Segoe UI"/>
            <family val="2"/>
          </rPr>
          <t>Selecione o tipo de ligação</t>
        </r>
      </text>
    </comment>
    <comment ref="F8" authorId="0" shapeId="0" xr:uid="{DF2E8053-F933-4D36-96C6-3809DB301459}">
      <text>
        <r>
          <rPr>
            <b/>
            <sz val="9"/>
            <color indexed="81"/>
            <rFont val="Segoe UI"/>
            <family val="2"/>
          </rPr>
          <t>Consumo médio mensal do cliente</t>
        </r>
      </text>
    </comment>
    <comment ref="B9" authorId="0" shapeId="0" xr:uid="{FB1F2AB8-3261-42F1-884C-18BD7D112429}">
      <text>
        <r>
          <rPr>
            <b/>
            <sz val="9"/>
            <color indexed="81"/>
            <rFont val="Segoe UI"/>
            <family val="2"/>
          </rPr>
          <t>Selecione o tipo de consumidor</t>
        </r>
      </text>
    </comment>
    <comment ref="J9" authorId="1" shapeId="0" xr:uid="{8FE1238D-FD61-4DFC-8E79-28DA24F4BB1C}">
      <text>
        <r>
          <rPr>
            <b/>
            <sz val="9"/>
            <color indexed="81"/>
            <rFont val="Segoe UI"/>
            <family val="2"/>
          </rPr>
          <t>Coloque aqui o preço do kit no fornecedor</t>
        </r>
      </text>
    </comment>
    <comment ref="B10" authorId="0" shapeId="0" xr:uid="{46FA137F-E94D-42FB-8378-1684980C9CAF}">
      <text>
        <r>
          <rPr>
            <b/>
            <sz val="9"/>
            <color indexed="81"/>
            <rFont val="Segoe UI"/>
            <family val="2"/>
          </rPr>
          <t>Data deste orçamento, no formato dd/mm/aa</t>
        </r>
      </text>
    </comment>
    <comment ref="J11" authorId="1" shapeId="0" xr:uid="{0E14EB52-4D2E-4BF8-ABCF-9052510C7B0C}">
      <text>
        <r>
          <rPr>
            <b/>
            <sz val="9"/>
            <color indexed="81"/>
            <rFont val="Segoe UI"/>
            <family val="2"/>
          </rPr>
          <t>Insira custos adicionais de projeto (acessórios, mao de obra extra, etc)</t>
        </r>
      </text>
    </comment>
    <comment ref="J12" authorId="1" shapeId="0" xr:uid="{3B0204C2-06D1-428D-8ACC-1E710463AC64}">
      <text>
        <r>
          <rPr>
            <b/>
            <sz val="9"/>
            <color indexed="81"/>
            <rFont val="Segoe UI"/>
            <family val="2"/>
          </rPr>
          <t>Insira o fator de preço</t>
        </r>
      </text>
    </comment>
    <comment ref="B14" authorId="1" shapeId="0" xr:uid="{F4D750B4-1BF2-4EBE-9161-26CF410B9A88}">
      <text>
        <r>
          <rPr>
            <b/>
            <sz val="9"/>
            <color indexed="81"/>
            <rFont val="Segoe UI"/>
            <family val="2"/>
          </rPr>
          <t>Selecione o Fabricante do Modulo</t>
        </r>
      </text>
    </comment>
    <comment ref="C14" authorId="2" shapeId="0" xr:uid="{61466DC0-7FFE-4669-AA51-2F312D06110B}">
      <text>
        <r>
          <rPr>
            <b/>
            <sz val="9"/>
            <color indexed="81"/>
            <rFont val="Segoe UI"/>
            <family val="2"/>
          </rPr>
          <t>Selecione o Modelo do Modulo</t>
        </r>
      </text>
    </comment>
    <comment ref="B15" authorId="2" shapeId="0" xr:uid="{DCD933DF-009C-4AEF-89EC-6768EA75ABD0}">
      <text>
        <r>
          <rPr>
            <b/>
            <sz val="9"/>
            <color indexed="81"/>
            <rFont val="Segoe UI"/>
            <family val="2"/>
          </rPr>
          <t>Selecione o Fabricante do Inversor</t>
        </r>
      </text>
    </comment>
    <comment ref="C15" authorId="2" shapeId="0" xr:uid="{6B912AD1-911D-4C5A-82DF-86984CB3CF4F}">
      <text>
        <r>
          <rPr>
            <b/>
            <sz val="9"/>
            <color indexed="81"/>
            <rFont val="Segoe UI"/>
            <family val="2"/>
          </rPr>
          <t>Selecione o Modelo do Inversor</t>
        </r>
      </text>
    </comment>
    <comment ref="J15" authorId="1" shapeId="0" xr:uid="{9359F803-9843-408B-91E7-E48C2971F7A0}">
      <text>
        <r>
          <rPr>
            <b/>
            <sz val="9"/>
            <color indexed="81"/>
            <rFont val="Segoe UI"/>
            <family val="2"/>
          </rPr>
          <t>Insira o custo final do sistema</t>
        </r>
      </text>
    </comment>
    <comment ref="A19" authorId="0" shapeId="0" xr:uid="{3EE72858-B1A0-4B29-9A43-6436CB837BD1}">
      <text>
        <r>
          <rPr>
            <b/>
            <sz val="9"/>
            <color indexed="81"/>
            <rFont val="Segoe UI"/>
            <family val="2"/>
          </rPr>
          <t>Rendimento aproximado, usar entre 75% e 85%</t>
        </r>
      </text>
    </comment>
    <comment ref="D19" authorId="1" shapeId="0" xr:uid="{6E782583-C7F1-474B-A7D2-0FC278EE431F}">
      <text>
        <r>
          <rPr>
            <b/>
            <sz val="9"/>
            <color indexed="81"/>
            <rFont val="Segoe UI"/>
            <family val="2"/>
          </rPr>
          <t>Insira a quantidade de modulos desejados</t>
        </r>
      </text>
    </comment>
    <comment ref="A21" authorId="0" shapeId="0" xr:uid="{F2C9A1DC-609F-4C14-AC31-361DFD4F6574}">
      <text>
        <r>
          <rPr>
            <b/>
            <sz val="9"/>
            <color indexed="81"/>
            <rFont val="Segoe UI"/>
            <family val="2"/>
          </rPr>
          <t>Quantidade de Inversores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<sst xmlns="http://schemas.openxmlformats.org/spreadsheetml/2006/main" count="353" uniqueCount="219">
  <si>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</si>
  <si>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</si>
  <si>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</si>
  <si>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</si>
  <si>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</si>
  <si>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</si>
  <si>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</si>
  <si>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</si>
  <si>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</si>
  <si>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</si>
  <si>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</si>
  <si>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</si>
  <si>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</si>
  <si>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Inclinação</t>
  </si>
  <si>
    <t>N</t>
  </si>
  <si>
    <t>NE</t>
  </si>
  <si>
    <t>E</t>
  </si>
  <si>
    <t>SE</t>
  </si>
  <si>
    <t>S</t>
  </si>
  <si>
    <t>SO</t>
  </si>
  <si>
    <t>O</t>
  </si>
  <si>
    <t>NO</t>
  </si>
  <si>
    <t>Média</t>
  </si>
  <si>
    <t>Orientação</t>
  </si>
  <si>
    <t>Rendimento</t>
  </si>
  <si>
    <t>Pot. do sis.</t>
  </si>
  <si>
    <t>ORÇAMENTO PRÉVIO DO SEU SISTEMA SOLAR FOTOVOLTAICO</t>
  </si>
  <si>
    <t>Cliente:</t>
  </si>
  <si>
    <t>Referência:</t>
  </si>
  <si>
    <t>Contato:</t>
  </si>
  <si>
    <t>Endereço:</t>
  </si>
  <si>
    <t>End. Instal:</t>
  </si>
  <si>
    <t>U/C:</t>
  </si>
  <si>
    <t>Valor médio:</t>
  </si>
  <si>
    <t>Ligação:</t>
  </si>
  <si>
    <t>TRIFÁSICO</t>
  </si>
  <si>
    <t>Consumo médio mensal:</t>
  </si>
  <si>
    <t>Data:</t>
  </si>
  <si>
    <t>Negociador:</t>
  </si>
  <si>
    <t>Dados do Sistema</t>
  </si>
  <si>
    <t>Rend.</t>
  </si>
  <si>
    <t>Pot. min. do Sistema</t>
  </si>
  <si>
    <t>N° de módulos</t>
  </si>
  <si>
    <t>Área necess.</t>
  </si>
  <si>
    <t>Pot. real do Sist.</t>
  </si>
  <si>
    <t>N° de inv.</t>
  </si>
  <si>
    <t>Potência do inversor</t>
  </si>
  <si>
    <t>Fator de dim.</t>
  </si>
  <si>
    <t>Produção média</t>
  </si>
  <si>
    <t>Valor</t>
  </si>
  <si>
    <t>Dados Financeiros</t>
  </si>
  <si>
    <t>Gasto anual aprox.</t>
  </si>
  <si>
    <t>Valor do investimento</t>
  </si>
  <si>
    <t>Taxa de retorno</t>
  </si>
  <si>
    <t>Prazo Retorno</t>
  </si>
  <si>
    <t>Principais equipamentos</t>
  </si>
  <si>
    <t>Módulo</t>
  </si>
  <si>
    <t>Inversor</t>
  </si>
  <si>
    <t xml:space="preserve">Obs. </t>
  </si>
  <si>
    <t xml:space="preserve">1. Orçamento básico, passível de alteração. </t>
  </si>
  <si>
    <t>2. Orçamento válido para 15 dias</t>
  </si>
  <si>
    <t>3. Definição efetiva com elaboração do projeto detalhado e estudo de sombreamento.</t>
  </si>
  <si>
    <t>ID</t>
  </si>
  <si>
    <t>Descrição</t>
  </si>
  <si>
    <t>Potencia</t>
  </si>
  <si>
    <t>Tipo</t>
  </si>
  <si>
    <t>MONOFÁSICO</t>
  </si>
  <si>
    <t>BIFÁSICO</t>
  </si>
  <si>
    <t>Ano</t>
  </si>
  <si>
    <t>Irradiação (kW/m²dia)</t>
  </si>
  <si>
    <t>Geração (kWh/mês)</t>
  </si>
  <si>
    <t>Consumo (kWh/mês)</t>
  </si>
  <si>
    <t>Saldo (kWh/mês)</t>
  </si>
  <si>
    <t>Consumo Total</t>
  </si>
  <si>
    <t>Geração Total</t>
  </si>
  <si>
    <t>Fração Solar</t>
  </si>
  <si>
    <t>Growatt</t>
  </si>
  <si>
    <t>Valor do kit</t>
  </si>
  <si>
    <t xml:space="preserve">Custo </t>
  </si>
  <si>
    <t>Custos adicionais</t>
  </si>
  <si>
    <t>Fator de preço</t>
  </si>
  <si>
    <t>Custo final sistema</t>
  </si>
  <si>
    <t>Custo calculado</t>
  </si>
  <si>
    <t>Preço calculado</t>
  </si>
  <si>
    <t>Preço de venda final</t>
  </si>
  <si>
    <t>Inflação anual</t>
  </si>
  <si>
    <t>Caixa acumulado</t>
  </si>
  <si>
    <t>Payback</t>
  </si>
  <si>
    <t>Largura</t>
  </si>
  <si>
    <t>Altura</t>
  </si>
  <si>
    <t>Total</t>
  </si>
  <si>
    <t>Autoconsumo</t>
  </si>
  <si>
    <t>RESIDENCIAL</t>
  </si>
  <si>
    <t>COMERCIAL</t>
  </si>
  <si>
    <t>AUTOCONSUMO REMOTO</t>
  </si>
  <si>
    <t>Tipo:</t>
  </si>
  <si>
    <t>Taxa de disp.</t>
  </si>
  <si>
    <t>Taxa Disp.</t>
  </si>
  <si>
    <t>Custo Disponibilidade</t>
  </si>
  <si>
    <t>Ligação</t>
  </si>
  <si>
    <t>Percentual de autoconsumo</t>
  </si>
  <si>
    <t>Consumo taxado</t>
  </si>
  <si>
    <t>Fio B</t>
  </si>
  <si>
    <t>Iluminação Publica</t>
  </si>
  <si>
    <t>Conta de energia sem energia solar</t>
  </si>
  <si>
    <t>Conta sem energia solar</t>
  </si>
  <si>
    <t>Conta com energia Solar</t>
  </si>
  <si>
    <t>Economizado</t>
  </si>
  <si>
    <t>Valor total Fio B 1 ano</t>
  </si>
  <si>
    <t>Valor total Fio B 2 ano</t>
  </si>
  <si>
    <t>Valor total Fio B 3 ano</t>
  </si>
  <si>
    <t>Valor total Fio B 4 ano</t>
  </si>
  <si>
    <t>Valor total Fio B 5 ano</t>
  </si>
  <si>
    <t>Valor total Fio B 6 ano</t>
  </si>
  <si>
    <t>conta de energia com sistema solar 1° ano</t>
  </si>
  <si>
    <t>conta de energia com sistema solar 2° ano</t>
  </si>
  <si>
    <t>conta de energia com sistema solar 3° ano</t>
  </si>
  <si>
    <t>conta de energia com sistema solar 4° ano</t>
  </si>
  <si>
    <t>conta de energia com sistema solar 5° ano</t>
  </si>
  <si>
    <t>conta de energia com sistema solar 6° ano</t>
  </si>
  <si>
    <t>Economizado 1 ano</t>
  </si>
  <si>
    <t>Investimento</t>
  </si>
  <si>
    <t>Economizado 2 ano</t>
  </si>
  <si>
    <t>Economizado 3 ano</t>
  </si>
  <si>
    <t>Economizado 4 ano</t>
  </si>
  <si>
    <t>Economizado 5 ano</t>
  </si>
  <si>
    <t>Economizado 6 ano</t>
  </si>
  <si>
    <t>TIR</t>
  </si>
  <si>
    <t>Payback Meses</t>
  </si>
  <si>
    <t>Conta de energia sem sistema solar (mês)</t>
  </si>
  <si>
    <t>conta de energia com sistema solar (mês)</t>
  </si>
  <si>
    <t>irradiação</t>
  </si>
  <si>
    <t>orientacao</t>
  </si>
  <si>
    <t>inclinação</t>
  </si>
  <si>
    <t>mês</t>
  </si>
  <si>
    <t>Modelo</t>
  </si>
  <si>
    <t>MIN 6KTL</t>
  </si>
  <si>
    <t>MIN 8KTL</t>
  </si>
  <si>
    <t>MIN 10KTL</t>
  </si>
  <si>
    <t>MID 15K</t>
  </si>
  <si>
    <t>MID 20K</t>
  </si>
  <si>
    <t>MAC 25K</t>
  </si>
  <si>
    <t>MAC 75K</t>
  </si>
  <si>
    <t>MAC 30K</t>
  </si>
  <si>
    <t>Deye</t>
  </si>
  <si>
    <t>SUN2000</t>
  </si>
  <si>
    <t>SUN1000</t>
  </si>
  <si>
    <t>Solis</t>
  </si>
  <si>
    <t>S6-GR1P4K</t>
  </si>
  <si>
    <t>S6-GR1P5K</t>
  </si>
  <si>
    <t>Sofar</t>
  </si>
  <si>
    <t>6KTLM-G2</t>
  </si>
  <si>
    <t>7.5KTLM</t>
  </si>
  <si>
    <t>1P7K-5G</t>
  </si>
  <si>
    <t>1P10K-4G</t>
  </si>
  <si>
    <t>Fronius</t>
  </si>
  <si>
    <t>Symo 10.0-3</t>
  </si>
  <si>
    <t>Symo 20.0-3</t>
  </si>
  <si>
    <t>Primo 4.0-1</t>
  </si>
  <si>
    <t>SUN600</t>
  </si>
  <si>
    <t>Filtro</t>
  </si>
  <si>
    <t>Fabricante</t>
  </si>
  <si>
    <t>Valida dados Inversor</t>
  </si>
  <si>
    <t>Lista Única</t>
  </si>
  <si>
    <t>Fab</t>
  </si>
  <si>
    <t>Mod</t>
  </si>
  <si>
    <t>Pot</t>
  </si>
  <si>
    <t>Tip</t>
  </si>
  <si>
    <t>Jinko</t>
  </si>
  <si>
    <t>Tiger Pro 550</t>
  </si>
  <si>
    <t>JA Solar</t>
  </si>
  <si>
    <t>JAM 550</t>
  </si>
  <si>
    <t>Valida dados Modulo</t>
  </si>
  <si>
    <t>Larg</t>
  </si>
  <si>
    <t>Alt</t>
  </si>
  <si>
    <t>Gasto médio mensal:</t>
  </si>
  <si>
    <t>Valor Financiado</t>
  </si>
  <si>
    <t>Qtde de Parcelas</t>
  </si>
  <si>
    <t>Taxa de Juros</t>
  </si>
  <si>
    <t>Valor da Parcela</t>
  </si>
  <si>
    <t>Valor parcela</t>
  </si>
  <si>
    <t>Valor taxa juros</t>
  </si>
  <si>
    <t>Valor Total</t>
  </si>
  <si>
    <t>Juros Total</t>
  </si>
  <si>
    <t>Aliquota imposto</t>
  </si>
  <si>
    <t>Valor do imposto</t>
  </si>
  <si>
    <t>Diferença de custo</t>
  </si>
  <si>
    <t>Margem de Lucro</t>
  </si>
  <si>
    <t>Financiamento</t>
  </si>
  <si>
    <t>Parcelas</t>
  </si>
  <si>
    <t>Taxa</t>
  </si>
  <si>
    <t>Entrada</t>
  </si>
  <si>
    <t>Valor Final</t>
  </si>
  <si>
    <t>Juros total</t>
  </si>
  <si>
    <t>Perc. Fio B</t>
  </si>
  <si>
    <t>Tabela Atendimento</t>
  </si>
  <si>
    <t>Tabela Tipo</t>
  </si>
  <si>
    <t>Tabela Módulos</t>
  </si>
  <si>
    <t>Tabela Inversores</t>
  </si>
  <si>
    <t>Tabela Taxação</t>
  </si>
  <si>
    <t>Tabela Negociador</t>
  </si>
  <si>
    <t>Nome</t>
  </si>
  <si>
    <t>Telefone</t>
  </si>
  <si>
    <t>Eudes Aparecido Rola</t>
  </si>
  <si>
    <t>Eudes</t>
  </si>
  <si>
    <t>Adalberto</t>
  </si>
  <si>
    <t>Jose</t>
  </si>
  <si>
    <t>Valida Negociador</t>
  </si>
  <si>
    <t>Adalberto de C. Camera</t>
  </si>
  <si>
    <t>Outro</t>
  </si>
  <si>
    <t>Tiger Neo 585</t>
  </si>
  <si>
    <t>Sunova</t>
  </si>
  <si>
    <t>Tangra 570</t>
  </si>
  <si>
    <t>TUSD_g</t>
  </si>
  <si>
    <t>Ronma</t>
  </si>
  <si>
    <t>DAH</t>
  </si>
  <si>
    <t>Sungrow</t>
  </si>
  <si>
    <t>S2500S-L</t>
  </si>
  <si>
    <t>Proporção: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</si>
</sst>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\°"/>
    <numFmt numFmtId="165" formatCode="[&gt;11111111111]\ \(00\)\ 00000\-0000;\ \(00\)\ 0000\-0000"/>
    <numFmt numFmtId="166" formatCode="_-&quot;R$&quot;* #,##0.00_-;\-&quot;R$&quot;* #,##0.00_-;_-&quot;R$&quot;* &quot;-&quot;??_-;_-@_-"/>
    <numFmt numFmtId="167" formatCode="0.00\ &quot;R$/kWh&quot;"/>
    <numFmt numFmtId="168" formatCode="0\ &quot;kWh/mês&quot;"/>
    <numFmt numFmtId="169" formatCode="[$-416]d&quot; de &quot;mmm\.&quot; de &quot;yyyy"/>
    <numFmt numFmtId="170" formatCode="0.0%"/>
    <numFmt numFmtId="171" formatCode="0.00\ &quot;kWp&quot;"/>
    <numFmt numFmtId="172" formatCode="0.00\ &quot;m²&quot;"/>
    <numFmt numFmtId="173" formatCode="0.00\ &quot;kW&quot;"/>
    <numFmt numFmtId="174" formatCode="0\ &quot;R$/kWp&quot;"/>
    <numFmt numFmtId="175" formatCode="0.00\ &quot;anos&quot;"/>
    <numFmt numFmtId="176" formatCode="0\ &quot;Wp&quot;"/>
    <numFmt numFmtId="177" formatCode="0.00\ \k\W\p"/>
    <numFmt numFmtId="178" formatCode="0.00\ &quot;kWh/mês&quot;"/>
    <numFmt numFmtId="179" formatCode="#,##0.00\ &quot;kWh/ano&quot;"/>
    <numFmt numFmtId="180" formatCode="_-&quot;R$/kWp&quot;\ * #,##0.00_-;\-&quot;R$/kWp&quot;\ * #,##0.00_-;_-&quot;R$/kWp&quot;\ * &quot;-&quot;??_-;_-@_-"/>
    <numFmt numFmtId="181" formatCode="0.000\ &quot;m&quot;"/>
    <numFmt numFmtId="182" formatCode="&quot;Larg.&quot;\ \ \ \ \ 0.000\ &quot;m&quot;"/>
    <numFmt numFmtId="183" formatCode="0\ &quot;kWh&quot;"/>
    <numFmt numFmtId="184" formatCode="0.000"/>
    <numFmt numFmtId="185" formatCode="&quot;Alt.&quot;\ \ \ \ \ 0.000\ &quot;m&quot;"/>
    <numFmt numFmtId="186" formatCode="&quot;R$&quot;\ \-\ \k\Wh"/>
    <numFmt numFmtId="187" formatCode="0.00&quot;R$/kWh&quot;"/>
    <numFmt numFmtId="188" formatCode="_-[$R$-416]\ * #,##0.00_-;\-[$R$-416]\ * #,##0.00_-;_-[$R$-416]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0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3" fillId="0" borderId="0" xfId="0" applyFont="1" applyProtection="1">
      <protection locked="0"/>
    </xf>
    <xf numFmtId="0" fontId="4" fillId="0" borderId="0" xfId="0" applyFont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/>
    <xf numFmtId="173" fontId="0" fillId="0" borderId="0" xfId="0" applyNumberFormat="1"/>
    <xf numFmtId="44" fontId="0" fillId="0" borderId="0" xfId="0" applyNumberFormat="1"/>
    <xf numFmtId="166" fontId="0" fillId="0" borderId="0" xfId="0" applyNumberFormat="1"/>
    <xf numFmtId="165" fontId="3" fillId="2" borderId="0" xfId="0" applyNumberFormat="1" applyFont="1" applyFill="1" applyAlignment="1" applyProtection="1">
      <alignment horizontal="center"/>
      <protection locked="0"/>
    </xf>
    <xf numFmtId="167" fontId="3" fillId="2" borderId="0" xfId="2" applyNumberFormat="1" applyFont="1" applyFill="1" applyBorder="1" applyProtection="1">
      <protection locked="0"/>
    </xf>
    <xf numFmtId="168" fontId="3" fillId="2" borderId="0" xfId="0" applyNumberFormat="1" applyFont="1" applyFill="1" applyProtection="1">
      <protection locked="0"/>
    </xf>
    <xf numFmtId="177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179" fontId="0" fillId="0" borderId="0" xfId="0" applyNumberFormat="1"/>
    <xf numFmtId="10" fontId="0" fillId="0" borderId="0" xfId="1" applyNumberFormat="1" applyFont="1"/>
    <xf numFmtId="1" fontId="0" fillId="0" borderId="0" xfId="0" applyNumberFormat="1"/>
    <xf numFmtId="44" fontId="0" fillId="0" borderId="0" xfId="3" applyFont="1"/>
    <xf numFmtId="9" fontId="0" fillId="0" borderId="0" xfId="0" applyNumberFormat="1"/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44" fontId="3" fillId="2" borderId="8" xfId="3" applyFont="1" applyFill="1" applyBorder="1" applyProtection="1">
      <protection locked="0"/>
    </xf>
    <xf numFmtId="0" fontId="5" fillId="0" borderId="9" xfId="0" applyFont="1" applyBorder="1" applyAlignment="1">
      <alignment horizontal="left" vertical="center"/>
    </xf>
    <xf numFmtId="9" fontId="3" fillId="2" borderId="10" xfId="1" applyFont="1" applyFill="1" applyBorder="1" applyProtection="1">
      <protection locked="0"/>
    </xf>
    <xf numFmtId="0" fontId="5" fillId="0" borderId="11" xfId="0" applyFont="1" applyBorder="1" applyAlignment="1">
      <alignment horizontal="left" vertical="center"/>
    </xf>
    <xf numFmtId="180" fontId="3" fillId="2" borderId="12" xfId="3" applyNumberFormat="1" applyFont="1" applyFill="1" applyBorder="1"/>
    <xf numFmtId="1" fontId="6" fillId="2" borderId="1" xfId="0" applyNumberFormat="1" applyFont="1" applyFill="1" applyBorder="1" applyAlignment="1">
      <alignment horizontal="center"/>
    </xf>
    <xf numFmtId="172" fontId="3" fillId="3" borderId="1" xfId="0" applyNumberFormat="1" applyFont="1" applyFill="1" applyBorder="1" applyAlignment="1">
      <alignment horizontal="center"/>
    </xf>
    <xf numFmtId="180" fontId="3" fillId="3" borderId="10" xfId="3" applyNumberFormat="1" applyFont="1" applyFill="1" applyBorder="1"/>
    <xf numFmtId="44" fontId="3" fillId="3" borderId="10" xfId="3" applyFont="1" applyFill="1" applyBorder="1" applyProtection="1"/>
    <xf numFmtId="44" fontId="3" fillId="3" borderId="6" xfId="3" applyFont="1" applyFill="1" applyBorder="1" applyProtection="1"/>
    <xf numFmtId="171" fontId="6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 applyProtection="1">
      <alignment horizontal="center"/>
      <protection locked="0"/>
    </xf>
    <xf numFmtId="170" fontId="6" fillId="2" borderId="1" xfId="1" applyNumberFormat="1" applyFont="1" applyFill="1" applyBorder="1" applyAlignment="1" applyProtection="1">
      <alignment horizontal="center"/>
      <protection locked="0"/>
    </xf>
    <xf numFmtId="10" fontId="3" fillId="3" borderId="1" xfId="1" applyNumberFormat="1" applyFont="1" applyFill="1" applyBorder="1" applyAlignment="1">
      <alignment horizontal="right"/>
    </xf>
    <xf numFmtId="168" fontId="3" fillId="3" borderId="1" xfId="0" applyNumberFormat="1" applyFont="1" applyFill="1" applyBorder="1" applyAlignment="1">
      <alignment horizontal="center"/>
    </xf>
    <xf numFmtId="174" fontId="3" fillId="3" borderId="1" xfId="1" applyNumberFormat="1" applyFont="1" applyFill="1" applyBorder="1" applyAlignment="1" applyProtection="1">
      <alignment horizontal="center"/>
    </xf>
    <xf numFmtId="175" fontId="3" fillId="3" borderId="1" xfId="0" applyNumberFormat="1" applyFont="1" applyFill="1" applyBorder="1" applyAlignment="1">
      <alignment horizontal="center"/>
    </xf>
    <xf numFmtId="181" fontId="0" fillId="0" borderId="0" xfId="0" applyNumberFormat="1"/>
    <xf numFmtId="182" fontId="3" fillId="3" borderId="0" xfId="0" applyNumberFormat="1" applyFont="1" applyFill="1" applyAlignment="1">
      <alignment horizontal="center"/>
    </xf>
    <xf numFmtId="176" fontId="0" fillId="3" borderId="0" xfId="0" applyNumberFormat="1" applyFill="1" applyAlignment="1">
      <alignment horizontal="center"/>
    </xf>
    <xf numFmtId="183" fontId="0" fillId="0" borderId="0" xfId="0" applyNumberFormat="1"/>
    <xf numFmtId="10" fontId="0" fillId="0" borderId="0" xfId="0" applyNumberFormat="1"/>
    <xf numFmtId="44" fontId="0" fillId="0" borderId="1" xfId="0" applyNumberFormat="1" applyBorder="1"/>
    <xf numFmtId="44" fontId="0" fillId="4" borderId="1" xfId="3" applyFont="1" applyFill="1" applyBorder="1"/>
    <xf numFmtId="183" fontId="0" fillId="3" borderId="1" xfId="0" applyNumberFormat="1" applyFill="1" applyBorder="1"/>
    <xf numFmtId="44" fontId="0" fillId="3" borderId="1" xfId="3" applyFont="1" applyFill="1" applyBorder="1"/>
    <xf numFmtId="0" fontId="0" fillId="3" borderId="1" xfId="0" applyFill="1" applyBorder="1"/>
    <xf numFmtId="9" fontId="0" fillId="3" borderId="1" xfId="1" applyFont="1" applyFill="1" applyBorder="1"/>
    <xf numFmtId="0" fontId="0" fillId="3" borderId="1" xfId="0" applyFill="1" applyBorder="1" applyAlignment="1">
      <alignment horizontal="right"/>
    </xf>
    <xf numFmtId="44" fontId="0" fillId="3" borderId="1" xfId="0" applyNumberFormat="1" applyFill="1" applyBorder="1"/>
    <xf numFmtId="10" fontId="3" fillId="3" borderId="1" xfId="1" applyNumberFormat="1" applyFont="1" applyFill="1" applyBorder="1" applyAlignment="1">
      <alignment horizontal="center"/>
    </xf>
    <xf numFmtId="2" fontId="0" fillId="0" borderId="0" xfId="4" applyNumberFormat="1" applyFont="1" applyAlignment="1">
      <alignment horizontal="center"/>
    </xf>
    <xf numFmtId="170" fontId="0" fillId="0" borderId="0" xfId="0" applyNumberFormat="1"/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3" fillId="3" borderId="0" xfId="0" applyFont="1" applyFill="1"/>
    <xf numFmtId="0" fontId="0" fillId="0" borderId="5" xfId="0" applyBorder="1"/>
    <xf numFmtId="0" fontId="0" fillId="0" borderId="14" xfId="0" applyBorder="1"/>
    <xf numFmtId="0" fontId="0" fillId="0" borderId="6" xfId="0" applyBorder="1"/>
    <xf numFmtId="173" fontId="3" fillId="3" borderId="0" xfId="0" applyNumberFormat="1" applyFont="1" applyFill="1" applyAlignment="1">
      <alignment horizontal="center"/>
    </xf>
    <xf numFmtId="0" fontId="3" fillId="2" borderId="0" xfId="0" applyFont="1" applyFill="1"/>
    <xf numFmtId="0" fontId="3" fillId="2" borderId="0" xfId="0" applyFont="1" applyFill="1" applyProtection="1">
      <protection locked="0"/>
    </xf>
    <xf numFmtId="184" fontId="0" fillId="0" borderId="0" xfId="0" applyNumberFormat="1"/>
    <xf numFmtId="185" fontId="3" fillId="3" borderId="0" xfId="0" applyNumberFormat="1" applyFont="1" applyFill="1" applyAlignment="1">
      <alignment horizontal="center"/>
    </xf>
    <xf numFmtId="44" fontId="3" fillId="3" borderId="0" xfId="3" applyFont="1" applyFill="1"/>
    <xf numFmtId="0" fontId="0" fillId="0" borderId="7" xfId="0" applyBorder="1"/>
    <xf numFmtId="44" fontId="0" fillId="3" borderId="8" xfId="3" applyFont="1" applyFill="1" applyBorder="1"/>
    <xf numFmtId="44" fontId="0" fillId="3" borderId="10" xfId="0" applyNumberFormat="1" applyFill="1" applyBorder="1"/>
    <xf numFmtId="10" fontId="0" fillId="3" borderId="12" xfId="0" applyNumberFormat="1" applyFill="1" applyBorder="1"/>
    <xf numFmtId="0" fontId="0" fillId="2" borderId="10" xfId="0" applyFill="1" applyBorder="1"/>
    <xf numFmtId="10" fontId="0" fillId="2" borderId="10" xfId="0" applyNumberFormat="1" applyFill="1" applyBorder="1"/>
    <xf numFmtId="9" fontId="0" fillId="2" borderId="8" xfId="0" applyNumberFormat="1" applyFill="1" applyBorder="1"/>
    <xf numFmtId="2" fontId="0" fillId="3" borderId="10" xfId="0" applyNumberFormat="1" applyFill="1" applyBorder="1"/>
    <xf numFmtId="0" fontId="0" fillId="3" borderId="12" xfId="0" applyFill="1" applyBorder="1"/>
    <xf numFmtId="44" fontId="0" fillId="2" borderId="10" xfId="3" applyFont="1" applyFill="1" applyBorder="1"/>
    <xf numFmtId="44" fontId="0" fillId="3" borderId="12" xfId="0" applyNumberFormat="1" applyFill="1" applyBorder="1"/>
    <xf numFmtId="8" fontId="0" fillId="3" borderId="10" xfId="3" applyNumberFormat="1" applyFont="1" applyFill="1" applyBorder="1"/>
    <xf numFmtId="10" fontId="0" fillId="2" borderId="8" xfId="0" applyNumberFormat="1" applyFill="1" applyBorder="1"/>
    <xf numFmtId="44" fontId="3" fillId="3" borderId="10" xfId="3" applyFont="1" applyFill="1" applyBorder="1"/>
    <xf numFmtId="10" fontId="3" fillId="3" borderId="12" xfId="1" applyNumberFormat="1" applyFont="1" applyFill="1" applyBorder="1"/>
    <xf numFmtId="0" fontId="4" fillId="0" borderId="1" xfId="0" applyFont="1" applyBorder="1"/>
    <xf numFmtId="10" fontId="0" fillId="2" borderId="1" xfId="0" applyNumberFormat="1" applyFill="1" applyBorder="1"/>
    <xf numFmtId="44" fontId="0" fillId="2" borderId="1" xfId="3" applyFont="1" applyFill="1" applyBorder="1" applyAlignment="1"/>
    <xf numFmtId="44" fontId="0" fillId="3" borderId="1" xfId="3" applyFont="1" applyFill="1" applyBorder="1" applyAlignment="1"/>
    <xf numFmtId="1" fontId="0" fillId="0" borderId="10" xfId="0" applyNumberFormat="1" applyBorder="1"/>
    <xf numFmtId="1" fontId="0" fillId="0" borderId="12" xfId="0" applyNumberFormat="1" applyBorder="1"/>
    <xf numFmtId="44" fontId="0" fillId="5" borderId="15" xfId="3" applyFont="1" applyFill="1" applyBorder="1"/>
    <xf numFmtId="44" fontId="0" fillId="0" borderId="15" xfId="3" applyFont="1" applyBorder="1"/>
    <xf numFmtId="186" fontId="0" fillId="0" borderId="0" xfId="0" applyNumberFormat="1"/>
    <xf numFmtId="187" fontId="0" fillId="0" borderId="16" xfId="0" applyNumberFormat="1" applyBorder="1" applyAlignment="1">
      <alignment horizontal="center" vertical="center"/>
    </xf>
    <xf numFmtId="188" fontId="0" fillId="0" borderId="6" xfId="0" applyNumberForma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2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>
      <alignment horizontal="left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3" fontId="6" fillId="3" borderId="3" xfId="0" applyNumberFormat="1" applyFont="1" applyFill="1" applyBorder="1" applyAlignment="1">
      <alignment horizontal="center"/>
    </xf>
    <xf numFmtId="173" fontId="6" fillId="3" borderId="4" xfId="0" applyNumberFormat="1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44" fontId="6" fillId="3" borderId="3" xfId="0" applyNumberFormat="1" applyFont="1" applyFill="1" applyBorder="1" applyAlignment="1">
      <alignment horizontal="center"/>
    </xf>
    <xf numFmtId="44" fontId="6" fillId="3" borderId="4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2" borderId="0" xfId="0" applyFont="1" applyFill="1" applyAlignment="1" applyProtection="1">
      <alignment horizontal="center" vertical="center"/>
      <protection locked="0"/>
    </xf>
    <xf numFmtId="171" fontId="6" fillId="3" borderId="3" xfId="0" applyNumberFormat="1" applyFont="1" applyFill="1" applyBorder="1" applyAlignment="1">
      <alignment horizontal="center"/>
    </xf>
    <xf numFmtId="171" fontId="6" fillId="3" borderId="4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right"/>
    </xf>
    <xf numFmtId="169" fontId="3" fillId="2" borderId="0" xfId="0" applyNumberFormat="1" applyFont="1" applyFill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165" fontId="3" fillId="0" borderId="0" xfId="0" applyNumberFormat="1" applyFont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</cellXfs>
  <cellStyles count="5">
    <cellStyle name="Moeda" xfId="3" builtinId="4"/>
    <cellStyle name="Moeda 2" xfId="2" xr:uid="{5A907399-0476-4F8A-B1F1-6D68A30C20C2}"/>
    <cellStyle name="Normal" xfId="0" builtinId="0"/>
    <cellStyle name="Porcentagem" xfId="1" builtinId="5"/>
    <cellStyle name="Vírgula" xfId="4" builtinId="3"/>
  </cellStyles>
  <dxfs count="25">
    <dxf>
      <alignment horizontal="center" vertical="bottom" textRotation="0" wrapText="0" indent="0" justifyLastLine="0" shrinkToFit="0" readingOrder="0"/>
    </dxf>
    <dxf>
      <numFmt numFmtId="14" formatCode="0.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0.00\ &quot;kW&quot;"/>
    </dxf>
    <dxf>
      <alignment horizontal="center" vertical="bottom" textRotation="0" wrapText="0" indent="0" justifyLastLine="0" shrinkToFit="0" readingOrder="0"/>
    </dxf>
    <dxf>
      <numFmt numFmtId="176" formatCode="0\ &quot;Wp&quot;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-&quot;R$&quot;* #,##0.00_-;\-&quot;R$&quot;* #,##0.00_-;_-&quot;R$&quot;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Energia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Energia!$C$1</c:f>
              <c:strCache>
                <c:ptCount val="1"/>
                <c:pt idx="0">
                  <c:v>Consumo (kWh/mês)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Energia!$A$2:$A$13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Energia!$C$2:$C$13</c:f>
              <c:numCache>
                <c:formatCode>General</c:formatCode>
                <c:ptCount val="12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A-42C5-964A-B91154C36C69}"/>
            </c:ext>
          </c:extLst>
        </c:ser>
        <c:ser>
          <c:idx val="1"/>
          <c:order val="1"/>
          <c:tx>
            <c:strRef>
              <c:f>Energia!$B$1</c:f>
              <c:strCache>
                <c:ptCount val="1"/>
                <c:pt idx="0">
                  <c:v>Geração (kWh/mês)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Energia!$A$2:$A$13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Energia!$B$2:$B$13</c:f>
              <c:numCache>
                <c:formatCode>0</c:formatCode>
                <c:ptCount val="12"/>
                <c:pt idx="0">
                  <c:v>1295.4874636363638</c:v>
                </c:pt>
                <c:pt idx="1">
                  <c:v>1271.7471</c:v>
                </c:pt>
                <c:pt idx="2">
                  <c:v>1329.0427090909093</c:v>
                </c:pt>
                <c:pt idx="3">
                  <c:v>1362.4550727272729</c:v>
                </c:pt>
                <c:pt idx="4">
                  <c:v>1353.3436090909092</c:v>
                </c:pt>
                <c:pt idx="5">
                  <c:v>1116.3356454545456</c:v>
                </c:pt>
                <c:pt idx="6">
                  <c:v>1364.4774000000002</c:v>
                </c:pt>
                <c:pt idx="7">
                  <c:v>1245.4018909090908</c:v>
                </c:pt>
                <c:pt idx="8">
                  <c:v>1175.8624090909093</c:v>
                </c:pt>
                <c:pt idx="9">
                  <c:v>1408.8147272727272</c:v>
                </c:pt>
                <c:pt idx="10">
                  <c:v>1305.8408999999999</c:v>
                </c:pt>
                <c:pt idx="11">
                  <c:v>1414.1892818181821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A-42C5-964A-B91154C36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79408880"/>
        <c:axId val="579409864"/>
      </c:barChart>
      <c:lineChart>
        <c:grouping val="standard"/>
        <c:varyColors val="0"/>
        <c:ser>
          <c:idx val="2"/>
          <c:order val="2"/>
          <c:tx>
            <c:strRef>
              <c:f>Energia!$E$1</c:f>
              <c:strCache>
                <c:ptCount val="1"/>
                <c:pt idx="0">
                  <c:v>Saldo (kWh/mês)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Energia!$A$2:$A$13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Energia!$E$2:$E$13</c:f>
              <c:numCache>
                <c:formatCode>0</c:formatCode>
                <c:ptCount val="12"/>
                <c:pt idx="0">
                  <c:v>95.487463636363827</c:v>
                </c:pt>
                <c:pt idx="1">
                  <c:v>167.23456363636387</c:v>
                </c:pt>
                <c:pt idx="2">
                  <c:v>296.27727272727316</c:v>
                </c:pt>
                <c:pt idx="3">
                  <c:v>458.73234545454602</c:v>
                </c:pt>
                <c:pt idx="4">
                  <c:v>612.07595454545526</c:v>
                </c:pt>
                <c:pt idx="5">
                  <c:v>528.41160000000082</c:v>
                </c:pt>
                <c:pt idx="6">
                  <c:v>692.88900000000103</c:v>
                </c:pt>
                <c:pt idx="7">
                  <c:v>738.29089090909179</c:v>
                </c:pt>
                <c:pt idx="8">
                  <c:v>714.15330000000108</c:v>
                </c:pt>
                <c:pt idx="9">
                  <c:v>922.96802727272825</c:v>
                </c:pt>
                <c:pt idx="10">
                  <c:v>1028.8089272727284</c:v>
                </c:pt>
                <c:pt idx="11">
                  <c:v>1242.9982090909107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A-42C5-964A-B91154C36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08880"/>
        <c:axId val="579409864"/>
      </c:lineChart>
      <c:catAx>
        <c:axId val="57940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9409864"/>
        <c:crosses val="autoZero"/>
        <c:auto val="1"/>
        <c:lblAlgn val="ctr"/>
        <c:lblOffset val="100"/>
        <c:noMultiLvlLbl val="0"/>
      </c:catAx>
      <c:valAx>
        <c:axId val="57940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94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 de</a:t>
            </a:r>
            <a:r>
              <a:rPr lang="pt-BR" baseline="0"/>
              <a:t> Caixa em anos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Financeiro!$O$1</c:f>
              <c:strCache>
                <c:ptCount val="1"/>
                <c:pt idx="0">
                  <c:v>Caixa acumulado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Financeiro!$J$2:$J$13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Financeiro!$O$2:$O$7</c:f>
              <c:numCache>
                <c:formatCode>0.00</c:formatCode>
                <c:ptCount val="6"/>
                <c:pt idx="0">
                  <c:v>-21762</c:v>
                </c:pt>
                <c:pt idx="1">
                  <c:v>-9509.0886164964741</c:v>
                </c:pt>
                <c:pt idx="2">
                  <c:v>3092.2425512332857</c:v>
                </c:pt>
                <c:pt idx="3">
                  <c:v>16019.322035811052</c:v>
                </c:pt>
                <c:pt idx="4">
                  <c:v>29489.269992024376</c:v>
                </c:pt>
                <c:pt idx="5">
                  <c:v>44036.813784734761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04-4BF3-91FB-6444919A0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621823"/>
        <c:axId val="1981636383"/>
      </c:areaChart>
      <c:barChart>
        <c:barDir val="col"/>
        <c:grouping val="clustered"/>
        <c:varyColors val="0"/>
        <c:ser>
          <c:idx val="0"/>
          <c:order val="0"/>
          <c:tx>
            <c:strRef>
              <c:f>Financeiro!$K$1</c:f>
              <c:strCache>
                <c:ptCount val="1"/>
                <c:pt idx="0">
                  <c:v>Conta sem energia solar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Financeiro!$J$2:$J$13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Financeiro!$K$2:$K$7</c:f>
              <c:numCache>
                <c:formatCode>0.00</c:formatCode>
                <c:ptCount val="6"/>
                <c:pt idx="0">
                  <c:v>15552</c:v>
                </c:pt>
                <c:pt idx="1">
                  <c:v>16796.16</c:v>
                </c:pt>
                <c:pt idx="2">
                  <c:v>18139.852800000001</c:v>
                </c:pt>
                <c:pt idx="3">
                  <c:v>19591.041024000002</c:v>
                </c:pt>
                <c:pt idx="4">
                  <c:v>21158.324305920003</c:v>
                </c:pt>
                <c:pt idx="5">
                  <c:v>22850.990250393606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4-4BF3-91FB-6444919A0D66}"/>
            </c:ext>
          </c:extLst>
        </c:ser>
        <c:ser>
          <c:idx val="1"/>
          <c:order val="1"/>
          <c:tx>
            <c:strRef>
              <c:f>Financeiro!$L$1</c:f>
              <c:strCache>
                <c:ptCount val="1"/>
                <c:pt idx="0">
                  <c:v>Conta com energia 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Financeiro!$J$2:$J$13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Financeiro!$L$2:$L$7</c:f>
              <c:numCache>
                <c:formatCode>0.00</c:formatCode>
                <c:ptCount val="6"/>
                <c:pt idx="0">
                  <c:v>2513.0337614558866</c:v>
                </c:pt>
                <c:pt idx="1">
                  <c:v>3299.0886164964763</c:v>
                </c:pt>
                <c:pt idx="2">
                  <c:v>4194.8288322702438</c:v>
                </c:pt>
                <c:pt idx="3">
                  <c:v>5212.773315422236</c:v>
                </c:pt>
                <c:pt idx="4">
                  <c:v>6121.0930677866836</c:v>
                </c:pt>
                <c:pt idx="5">
                  <c:v>6610.7805132096182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04-4BF3-91FB-6444919A0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81621823"/>
        <c:axId val="1981636383"/>
      </c:barChart>
      <c:dateAx>
        <c:axId val="198162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636383"/>
        <c:crosses val="autoZero"/>
        <c:auto val="0"/>
        <c:lblOffset val="100"/>
        <c:baseTimeUnit val="days"/>
      </c:dateAx>
      <c:valAx>
        <c:axId val="19816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621823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</xdr:row>
      <xdr:rowOff>33337</xdr:rowOff>
    </xdr:from>
    <xdr:to>
      <xdr:col>4</xdr:col>
      <xdr:colOff>1238251</xdr:colOff>
      <xdr:row>30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7E9AA4F-C6D7-4404-97EA-09C852DA3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8</xdr:row>
      <xdr:rowOff>47626</xdr:rowOff>
    </xdr:from>
    <xdr:to>
      <xdr:col>15</xdr:col>
      <xdr:colOff>9526</xdr:colOff>
      <xdr:row>27</xdr:row>
      <xdr:rowOff>133351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DBD0D4-CB80-6F54-2C52-F3E1F50C3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27AA56-181C-44EA-9834-0D355EE38866}" name="Tabela1" displayName="Tabela1" ref="M9:N16" totalsRowCount="1">
  <autoFilter ref="M9:N15" xr:uid="{B627AA56-181C-44EA-9834-0D355EE38866}"/>
  <tableColumns count="2">
    <tableColumn id="1" xr3:uid="{20DBCBF0-2800-4BBD-B51F-26F943D967D6}" name="Descrição" totalsRowLabel="Total"/>
    <tableColumn id="2" xr3:uid="{505BB622-CCD8-47E4-96FE-85CCCD21A546}" name="Valor" totalsRowFunction="sum" dataDxfId="23" totalsRowDxfId="22" dataCellStyle="Moeda">
      <calculatedColumnFormula>0.015*Preço_de_venda_final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0DB0AE-0714-40C4-8B06-6965428285E9}" name="Geracao" displayName="Geracao" ref="A1:E14" totalsRowCount="1">
  <autoFilter ref="A1:E13" xr:uid="{5DC22438-24C3-4288-81F0-C922C7E42D20}"/>
  <tableColumns count="5">
    <tableColumn id="1" xr3:uid="{90B9182B-8FCB-4F7A-9BE1-2DBB7D9649F3}" name="Mês" totalsRowLabel="Média"/>
    <tableColumn id="4" xr3:uid="{C0BB4E8A-6D3C-4BB6-88E8-9E5E8FA5D391}" name="Geração (kWh/mês)" totalsRowFunction="average" dataDxfId="20" totalsRowDxfId="19">
      <calculatedColumnFormula>P_sis*Geracao[[#This Row],[Irradiação (kW/m²dia)]]*30*Rendimento</calculatedColumnFormula>
    </tableColumn>
    <tableColumn id="3" xr3:uid="{8AA037AB-EF6F-4761-B67E-111DA0D998FC}" name="Consumo (kWh/mês)" totalsRowFunction="average" totalsRowDxfId="18">
      <calculatedColumnFormula>Consumo_Mensal</calculatedColumnFormula>
    </tableColumn>
    <tableColumn id="2" xr3:uid="{756DC0DE-6398-42CB-911F-878E4C3DDB81}" name="Irradiação (kW/m²dia)" totalsRowFunction="average" dataDxfId="17" totalsRowDxfId="16">
      <calculatedColumnFormula array="1">INDEX(Auxiliar!$B$3:$AO$14,MATCH(Geracao[[#This Row],[Mês]],Auxiliar!$A$3:$A$14,0),MATCH(Orientacao&amp;Inclinação,Auxiliar!$B$1:$AO$1&amp;Auxiliar!$B$2:$AO$2,0))</calculatedColumnFormula>
    </tableColumn>
    <tableColumn id="5" xr3:uid="{19F1DE2F-17C6-4894-B275-FB6826A56C55}" name="Saldo (kWh/mês)" dataDxfId="15">
      <calculatedColumnFormula>E1+Geracao[[#This Row],[Geração (kWh/mês)]]-Geracao[[#This Row],[Consumo (kWh/mês)]]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F82FAB-0E62-48B1-B445-1D9DD8511AF3}" name="Financeiro" displayName="Financeiro" ref="J1:O8" totalsRowShown="0" headerRowDxfId="14">
  <autoFilter ref="J1:O8" xr:uid="{10C8D492-2F3C-4BEB-AD12-48E6DC16E2ED}"/>
  <tableColumns count="6">
    <tableColumn id="1" xr3:uid="{651D981F-6F2D-446A-AEC5-627ACF04F0EF}" name="Ano"/>
    <tableColumn id="6" xr3:uid="{DF172FC2-2894-4C5F-88D0-121FD28420C2}" name="Conta sem energia solar" dataDxfId="13">
      <calculatedColumnFormula>H1*12</calculatedColumnFormula>
    </tableColumn>
    <tableColumn id="7" xr3:uid="{614F6C72-331F-4F71-B973-54CAB4079C21}" name="Conta com energia Solar" dataDxfId="12">
      <calculatedColumnFormula>H2*12</calculatedColumnFormula>
    </tableColumn>
    <tableColumn id="5" xr3:uid="{E611B7AE-8A12-4042-924C-0552086684FF}" name="Economizado" dataDxfId="11" dataCellStyle="Moeda">
      <calculatedColumnFormula>Financeiro[[#This Row],[Conta sem energia solar]]-Financeiro[[#This Row],[Conta com energia Solar]]</calculatedColumnFormula>
    </tableColumn>
    <tableColumn id="3" xr3:uid="{57549F76-4597-4425-BE26-9EFDF952A7E0}" name="Conta de energia sem energia solar" dataDxfId="10" dataCellStyle="Moeda">
      <calculatedColumnFormula>IF(Financeiro[[#This Row],[Ano]]-2&lt;0,0,IF(Financeiro[[#This Row],[Ano]]-INT(Financeiro[[#This Row],[Ano]])&lt;&gt;0,"quebrado",(Gasto_anual_Aprox*(1+Inflação_anual)^(Financeiro[[#This Row],[Ano]]-2))))</calculatedColumnFormula>
    </tableColumn>
    <tableColumn id="2" xr3:uid="{17C0C0DC-4D83-402F-9368-9AE56FFFD288}" name="Caixa acumulado" dataDxfId="9">
      <calculatedColumnFormula>IF(Financeiro[[#This Row],[Ano]]-2&lt;0,(-Valor_do_investimento),O1+Financeiro[[#This Row],[Conta de energia sem energia solar]]-Financeiro[[#This Row],[Conta com energia Solar]])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C381D3E-5E7E-4851-846B-C835628A90EB}" name="Tabela_Tipos_de_Ligação" displayName="Tabela_Tipos_de_Ligação" ref="A2:C5" totalsRowShown="0" headerRowDxfId="8">
  <autoFilter ref="A2:C5" xr:uid="{B3A64A1E-35EE-4FE8-BBD7-1714C6702BEF}"/>
  <tableColumns count="3">
    <tableColumn id="1" xr3:uid="{0E65B03A-9AD2-4813-B847-AA7E2E35C53F}" name="ID"/>
    <tableColumn id="2" xr3:uid="{745DC6C5-1CE3-4B8E-BC07-9C2B991E6ACD}" name="Descrição"/>
    <tableColumn id="3" xr3:uid="{16F14605-6ED6-4EB3-A124-0B5E8358C551}" name="Taxa Disp.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923696-CC0D-4B4C-B6A8-9BA53D6FF01C}" name="Tabela_Modulos" displayName="Tabela_Modulos" ref="I2:M9" totalsRowShown="0" headerRowDxfId="7">
  <autoFilter ref="I2:M9" xr:uid="{3BEFFC85-C2A2-41D0-AB0D-AE5FD0035345}"/>
  <tableColumns count="5">
    <tableColumn id="1" xr3:uid="{E2B30A9F-140C-4D40-B77B-18D1E859F519}" name="Fabricante"/>
    <tableColumn id="3" xr3:uid="{10010B40-97A8-4145-AA5E-903F48329E00}" name="Modelo"/>
    <tableColumn id="2" xr3:uid="{812ECD8D-44E6-4865-B7F4-0AEE95ECDE2C}" name="Potencia" dataDxfId="6"/>
    <tableColumn id="4" xr3:uid="{060B7CDA-816E-4C70-9DA9-DB95DA624A9C}" name="Largura"/>
    <tableColumn id="5" xr3:uid="{0634DD02-AEDC-4C6E-ACD3-5BC76244B2A2}" name="Altura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1144AB4-472A-4699-960C-E79D969C7F1C}" name="Tabela_Inversores" displayName="Tabela_Inversores" ref="O2:R23" totalsRowShown="0" headerRowDxfId="5">
  <autoFilter ref="O2:R23" xr:uid="{B961094F-ED10-4560-A840-D84665F0EF6F}"/>
  <tableColumns count="4">
    <tableColumn id="3" xr3:uid="{F16E5753-8635-4F4E-B853-F34CA436440A}" name="Fabricante"/>
    <tableColumn id="1" xr3:uid="{978E8F1D-D976-4DE9-9C44-A0C50BF8BCAF}" name="Modelo"/>
    <tableColumn id="2" xr3:uid="{15FDB09D-0E22-4A20-ADF4-27083D6FADD9}" name="Potencia" dataDxfId="4"/>
    <tableColumn id="4" xr3:uid="{60705D07-701E-41B7-825A-8BA964776B8E}" name="Tipo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03538B-B5B2-43AC-8372-6A3C62C34E73}" name="Tabela_Tipos_de_Cliente" displayName="Tabela_Tipos_de_Cliente" ref="E2:G5" totalsRowShown="0" headerRowDxfId="3">
  <autoFilter ref="E2:G5" xr:uid="{6C03538B-B5B2-43AC-8372-6A3C62C34E73}"/>
  <tableColumns count="3">
    <tableColumn id="1" xr3:uid="{274A898D-A0A8-4D84-B2C0-97CAB8AA6195}" name="ID"/>
    <tableColumn id="2" xr3:uid="{E5ED9D53-59AF-4E08-81AE-2C0A7EAC7715}" name="Descrição"/>
    <tableColumn id="3" xr3:uid="{2CDF5221-149C-4BA9-8BCD-B990D04ABE34}" name="Autoconsumo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24142F-723B-4BEC-B628-61802FF6C4EE}" name="Tabela_Taxação" displayName="Tabela_Taxação" ref="T2:W9" totalsRowShown="0" headerRowDxfId="2">
  <autoFilter ref="T2:W9" xr:uid="{DE24142F-723B-4BEC-B628-61802FF6C4EE}"/>
  <tableColumns count="4">
    <tableColumn id="1" xr3:uid="{A6354B48-03B2-441E-96ED-025D9EDED4AF}" name="ID"/>
    <tableColumn id="4" xr3:uid="{EB373BC1-05AF-4DF1-B867-12D85B10FFCB}" name="Fio B"/>
    <tableColumn id="2" xr3:uid="{F4F38D34-E8B9-40F5-B9BF-F92056B4C803}" name="Perc. Fio B"/>
    <tableColumn id="3" xr3:uid="{3F5CA63A-63CC-4B1F-A4DF-CB0276463B6E}" name="TUSD_g" dataDxfId="1">
      <calculatedColumnFormula>Tabela_Taxação[[#This Row],[Fio B]]*Tabela_Taxação[[#This Row],[Perc. Fio B]]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2D03-72C5-41AB-97DC-7D0293D49EE6}" name="Tabela_Negociador" displayName="Tabela_Negociador" ref="Y2:AA6" totalsRowShown="0" headerRowDxfId="0">
  <autoFilter ref="Y2:AA6" xr:uid="{05E22D03-72C5-41AB-97DC-7D0293D49EE6}"/>
  <tableColumns count="3">
    <tableColumn id="1" xr3:uid="{1FE5B1B3-C131-4098-8E7F-1FF48781A162}" name="ID"/>
    <tableColumn id="2" xr3:uid="{A47F2703-FEA5-47D2-AE43-69823B243853}" name="Nome"/>
    <tableColumn id="3" xr3:uid="{8A021F20-36D5-483F-A008-69C098CF0D01}" name="Telefon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60C03-9740-41D9-AE80-A6A6D60D7EDA}">
  <sheetPr codeName="Planilha1">
    <pageSetUpPr fitToPage="1"/>
  </sheetPr>
  <dimension ref="A1:Q42"/>
  <sheetViews>
    <sheetView tabSelected="1" zoomScale="85" zoomScaleNormal="85" workbookViewId="0">
      <selection activeCell="L26" sqref="L26"/>
    </sheetView>
  </sheetViews>
  <sheetFormatPr defaultRowHeight="15" x14ac:dyDescent="0.25"/>
  <cols>
    <col min="1" max="1" width="12.7109375" customWidth="1"/>
    <col min="2" max="2" width="15.140625" customWidth="1"/>
    <col min="3" max="3" width="11.28515625" customWidth="1"/>
    <col min="4" max="4" width="15.5703125" customWidth="1"/>
    <col min="5" max="5" width="18.28515625" customWidth="1"/>
    <col min="6" max="6" width="17.5703125" customWidth="1"/>
    <col min="9" max="9" width="27.28515625" bestFit="1" customWidth="1"/>
    <col min="10" max="10" width="23.5703125" customWidth="1"/>
    <col min="13" max="13" width="28.140625" bestFit="1" customWidth="1"/>
    <col min="14" max="14" width="22.140625" customWidth="1"/>
    <col min="17" max="17" width="13.28515625" bestFit="1" customWidth="1"/>
    <col min="19" max="19" width="27" customWidth="1"/>
    <col min="20" max="20" width="35.42578125" customWidth="1"/>
  </cols>
  <sheetData>
    <row r="1" spans="1:17" ht="15.75" x14ac:dyDescent="0.25">
      <c r="A1" s="113" t="s">
        <v>26</v>
      </c>
      <c r="B1" s="113"/>
      <c r="C1" s="113"/>
      <c r="D1" s="113"/>
      <c r="E1" s="113"/>
      <c r="F1" s="113"/>
    </row>
    <row r="2" spans="1:17" ht="15.75" x14ac:dyDescent="0.25">
      <c r="A2" s="5"/>
      <c r="B2" s="5"/>
      <c r="C2" s="5"/>
      <c r="D2" s="5"/>
      <c r="E2" s="5"/>
      <c r="F2" s="5"/>
    </row>
    <row r="3" spans="1:17" ht="15.75" x14ac:dyDescent="0.25">
      <c r="A3" s="6" t="s">
        <v>27</v>
      </c>
      <c r="B3" s="105"/>
      <c r="C3" s="105"/>
      <c r="D3" s="105"/>
      <c r="E3" s="105"/>
      <c r="F3" s="7"/>
    </row>
    <row r="4" spans="1:17" ht="15.75" x14ac:dyDescent="0.25">
      <c r="A4" s="6" t="s">
        <v>28</v>
      </c>
      <c r="B4" s="118"/>
      <c r="C4" s="118"/>
      <c r="D4" s="118"/>
      <c r="E4" s="8" t="s">
        <v>29</v>
      </c>
      <c r="F4" s="16"/>
    </row>
    <row r="5" spans="1:17" ht="16.5" thickBot="1" x14ac:dyDescent="0.3">
      <c r="A5" s="6" t="s">
        <v>30</v>
      </c>
      <c r="B5" s="105"/>
      <c r="C5" s="105"/>
      <c r="D5" s="105"/>
      <c r="E5" s="105"/>
      <c r="F5" s="7"/>
    </row>
    <row r="6" spans="1:17" ht="16.5" thickBot="1" x14ac:dyDescent="0.3">
      <c r="A6" s="6" t="s">
        <v>31</v>
      </c>
      <c r="B6" s="105"/>
      <c r="C6" s="105"/>
      <c r="D6" s="105"/>
      <c r="E6" s="105"/>
      <c r="F6" s="7"/>
      <c r="I6" s="103" t="s">
        <v>218</v>
      </c>
      <c r="J6" s="104"/>
    </row>
    <row r="7" spans="1:17" ht="16.5" thickBot="1" x14ac:dyDescent="0.3">
      <c r="A7" s="6" t="s">
        <v>32</v>
      </c>
      <c r="B7" s="105"/>
      <c r="C7" s="105"/>
      <c r="D7" s="121" t="s">
        <v>33</v>
      </c>
      <c r="E7" s="121"/>
      <c r="F7" s="17">
        <v>1.08</v>
      </c>
      <c r="I7" s="101">
        <v>1950</v>
      </c>
      <c r="J7" s="102">
        <f>Pot_real_do_sistema*I7</f>
        <v>21762</v>
      </c>
    </row>
    <row r="8" spans="1:17" ht="16.5" thickBot="1" x14ac:dyDescent="0.3">
      <c r="A8" s="6" t="s">
        <v>34</v>
      </c>
      <c r="B8" s="105" t="s">
        <v>67</v>
      </c>
      <c r="C8" s="105"/>
      <c r="D8" s="121" t="s">
        <v>36</v>
      </c>
      <c r="E8" s="121"/>
      <c r="F8" s="18">
        <v>1200</v>
      </c>
      <c r="I8" s="100"/>
    </row>
    <row r="9" spans="1:17" ht="15.75" x14ac:dyDescent="0.25">
      <c r="A9" s="6" t="s">
        <v>95</v>
      </c>
      <c r="B9" s="105" t="s">
        <v>92</v>
      </c>
      <c r="C9" s="105"/>
      <c r="D9" s="122" t="s">
        <v>175</v>
      </c>
      <c r="E9" s="122"/>
      <c r="F9" s="76">
        <f>Valor_Médio*Consumo_Mensal</f>
        <v>1296</v>
      </c>
      <c r="I9" s="27" t="s">
        <v>77</v>
      </c>
      <c r="J9" s="28">
        <v>15069.4</v>
      </c>
      <c r="M9" t="s">
        <v>63</v>
      </c>
      <c r="N9" t="s">
        <v>49</v>
      </c>
    </row>
    <row r="10" spans="1:17" ht="15.75" x14ac:dyDescent="0.25">
      <c r="A10" s="6" t="s">
        <v>37</v>
      </c>
      <c r="B10" s="123"/>
      <c r="C10" s="123"/>
      <c r="D10" s="5"/>
      <c r="E10" s="5"/>
      <c r="F10" s="5"/>
      <c r="I10" s="29" t="s">
        <v>78</v>
      </c>
      <c r="J10" s="35">
        <f>J9/Pot_real_do_sistema</f>
        <v>1350.3046594982079</v>
      </c>
      <c r="N10" s="98"/>
      <c r="Q10" s="98"/>
    </row>
    <row r="11" spans="1:17" ht="15.75" x14ac:dyDescent="0.25">
      <c r="A11" s="6" t="s">
        <v>38</v>
      </c>
      <c r="B11" s="124"/>
      <c r="C11" s="124"/>
      <c r="D11" s="125" t="str">
        <f>IF(OR(ISERR(Negociador),Negociador=""),"",VLOOKUP(Negociador,Tabela_Negociador[Nome]:Tabela_Negociador[Telefone],2,0))</f>
        <v/>
      </c>
      <c r="E11" s="125"/>
      <c r="F11" s="7"/>
      <c r="I11" s="29" t="s">
        <v>79</v>
      </c>
      <c r="J11" s="36">
        <f>Tabela1[[#Totals],[Valor]]</f>
        <v>0</v>
      </c>
      <c r="N11" s="98"/>
      <c r="Q11" s="99"/>
    </row>
    <row r="12" spans="1:17" ht="15.75" x14ac:dyDescent="0.25">
      <c r="A12" s="5"/>
      <c r="B12" s="5"/>
      <c r="C12" s="5"/>
      <c r="D12" s="5"/>
      <c r="E12" s="5"/>
      <c r="F12" s="5"/>
      <c r="I12" s="29" t="s">
        <v>80</v>
      </c>
      <c r="J12" s="30">
        <v>1.45</v>
      </c>
      <c r="N12" s="24"/>
      <c r="Q12" s="98"/>
    </row>
    <row r="13" spans="1:17" ht="15.75" x14ac:dyDescent="0.25">
      <c r="A13" s="113" t="s">
        <v>55</v>
      </c>
      <c r="B13" s="113"/>
      <c r="C13" s="113"/>
      <c r="D13" s="113"/>
      <c r="E13" s="113"/>
      <c r="F13" s="113"/>
      <c r="I13" s="29" t="s">
        <v>83</v>
      </c>
      <c r="J13" s="36">
        <f>(Valor_do_kit*Fator_de_preço)+Custos_adicionais</f>
        <v>21850.629999999997</v>
      </c>
      <c r="N13" s="99"/>
      <c r="Q13" s="99"/>
    </row>
    <row r="14" spans="1:17" ht="15.75" x14ac:dyDescent="0.25">
      <c r="A14" s="6" t="s">
        <v>56</v>
      </c>
      <c r="B14" s="73" t="s">
        <v>215</v>
      </c>
      <c r="C14" s="73">
        <v>620</v>
      </c>
      <c r="D14" s="47">
        <f>IF(OR(ISERR(Mod_Mod),Mod_Mod=""),"",VLOOKUP(Mod_Mod,Auxiliar!M36:P55,2,0))</f>
        <v>620</v>
      </c>
      <c r="E14" s="46">
        <f>IF(OR(ISERR(Mod_Mod),Mod_Mod=""),"",VLOOKUP(Mod_Mod,Auxiliar!M36:P55,3,0))</f>
        <v>1.1599999999999999</v>
      </c>
      <c r="F14" s="75">
        <f>IF(OR(ISERR(Mod_Mod),Mod_Mod=""),"",VLOOKUP(Mod_Mod,Auxiliar!M36:P55,4,0))</f>
        <v>2.38</v>
      </c>
      <c r="I14" s="29" t="s">
        <v>82</v>
      </c>
      <c r="J14" s="35">
        <f>Preço_calculado/Pot_real_do_sistema</f>
        <v>1957.9417562724011</v>
      </c>
      <c r="N14" s="24"/>
    </row>
    <row r="15" spans="1:17" ht="16.5" thickBot="1" x14ac:dyDescent="0.3">
      <c r="A15" s="6" t="s">
        <v>57</v>
      </c>
      <c r="B15" s="72" t="s">
        <v>150</v>
      </c>
      <c r="C15" s="72" t="s">
        <v>152</v>
      </c>
      <c r="D15" s="71">
        <f>IF(OR(ISERR(Mod_Inv),Mod_Inv=""),"",VLOOKUP(Mod_Inv,Auxiliar!E36:G55,2,0))</f>
        <v>7.5</v>
      </c>
      <c r="E15" s="67" t="str">
        <f>IF(OR(ISERR(Mod_Inv),Mod_Inv=""),"",VLOOKUP(Mod_Inv,Auxiliar!E36:G55,3,0))</f>
        <v>BIFÁSICO</v>
      </c>
      <c r="I15" s="31" t="s">
        <v>81</v>
      </c>
      <c r="J15" s="32">
        <f>Preço_de_venda_final/Pot_real_do_sistema</f>
        <v>1950</v>
      </c>
      <c r="N15" s="24"/>
    </row>
    <row r="16" spans="1:17" ht="16.5" thickBot="1" x14ac:dyDescent="0.3">
      <c r="I16" s="26" t="s">
        <v>84</v>
      </c>
      <c r="J16" s="37">
        <v>21762</v>
      </c>
      <c r="M16" t="s">
        <v>90</v>
      </c>
      <c r="N16" s="14">
        <f>SUBTOTAL(109,Tabela1[Valor])</f>
        <v>0</v>
      </c>
    </row>
    <row r="17" spans="1:10" ht="16.5" thickBot="1" x14ac:dyDescent="0.3">
      <c r="A17" s="111" t="s">
        <v>39</v>
      </c>
      <c r="B17" s="111"/>
      <c r="C17" s="111"/>
      <c r="D17" s="111"/>
      <c r="E17" s="111"/>
      <c r="F17" s="111"/>
    </row>
    <row r="18" spans="1:10" ht="15.75" x14ac:dyDescent="0.25">
      <c r="A18" s="9" t="s">
        <v>40</v>
      </c>
      <c r="B18" s="107" t="s">
        <v>41</v>
      </c>
      <c r="C18" s="108"/>
      <c r="D18" s="9" t="s">
        <v>42</v>
      </c>
      <c r="E18" s="9" t="s">
        <v>43</v>
      </c>
      <c r="F18" s="9" t="s">
        <v>44</v>
      </c>
      <c r="I18" s="27" t="s">
        <v>184</v>
      </c>
      <c r="J18" s="89">
        <v>8.5000000000000006E-2</v>
      </c>
    </row>
    <row r="19" spans="1:10" ht="15.75" x14ac:dyDescent="0.25">
      <c r="A19" s="40">
        <v>0.8</v>
      </c>
      <c r="B19" s="119">
        <f>ROUND(F8/(5.1*30*A19),2)</f>
        <v>9.8000000000000007</v>
      </c>
      <c r="C19" s="120"/>
      <c r="D19" s="33">
        <v>18</v>
      </c>
      <c r="E19" s="34">
        <f>IF(Fab_Mod="","Erro Modulo",IF(Fab_Mod=0,"mod zero",IF(E14=0,"larg zero",IF(E14="","larg vazia",IF(F14=0,"comp zero",IF(F14="","comp vazio",ROUND(E14*F14*Qtde_min_de_modulos,2)))))))</f>
        <v>49.69</v>
      </c>
      <c r="F19" s="38">
        <f>ROUND(Qtde_min_de_modulos*Pot_modulo/1000,2)</f>
        <v>11.16</v>
      </c>
      <c r="I19" s="29" t="s">
        <v>185</v>
      </c>
      <c r="J19" s="90">
        <f>Aliquota_imposto*(Preço_de_venda_final-Valor_do_kit)</f>
        <v>568.87100000000009</v>
      </c>
    </row>
    <row r="20" spans="1:10" ht="15.75" x14ac:dyDescent="0.25">
      <c r="A20" s="9" t="s">
        <v>45</v>
      </c>
      <c r="B20" s="107" t="s">
        <v>46</v>
      </c>
      <c r="C20" s="108"/>
      <c r="D20" s="9" t="s">
        <v>47</v>
      </c>
      <c r="E20" s="9" t="s">
        <v>48</v>
      </c>
      <c r="F20" s="9" t="s">
        <v>49</v>
      </c>
      <c r="I20" s="29" t="s">
        <v>186</v>
      </c>
      <c r="J20" s="90">
        <f>Preço_de_venda_final-(Valor_do_kit+Custos_adicionais+Valor_do_imposto)</f>
        <v>6123.7289999999994</v>
      </c>
    </row>
    <row r="21" spans="1:10" ht="16.5" thickBot="1" x14ac:dyDescent="0.3">
      <c r="A21" s="39">
        <v>1</v>
      </c>
      <c r="B21" s="109">
        <f>Pot_Inversor</f>
        <v>7.5</v>
      </c>
      <c r="C21" s="110"/>
      <c r="D21" s="41">
        <f>IF(OR(AND(OR(Ligacao="BIFÁSICO",Ligacao="MONOFÁSICO"),E15="TRIFÁSICO"),AND(OR(E15="BIFÁSICO",E15="TRIFÁSICO"),Ligacao="MONOFÁSICO")),"INADEQUADO",IF(OR(ISERR(B21),B21=""),"",Pot_real_do_sistema/(Potencia_do_inversor*Qtde._de_inv.)))</f>
        <v>1.488</v>
      </c>
      <c r="E21" s="42">
        <f>ROUND(Pot_real_do_sistema*Rendimento*5.1*30,2)</f>
        <v>1331.83</v>
      </c>
      <c r="F21" s="43">
        <f>Custo_final_sistema</f>
        <v>1950</v>
      </c>
      <c r="I21" s="31" t="s">
        <v>187</v>
      </c>
      <c r="J21" s="91">
        <f>Dif_custo/Preço_de_venda_final</f>
        <v>0.28139550592776397</v>
      </c>
    </row>
    <row r="22" spans="1:10" ht="15.75" x14ac:dyDescent="0.25">
      <c r="A22" s="5"/>
      <c r="B22" s="5"/>
      <c r="C22" s="5"/>
      <c r="D22" s="5"/>
      <c r="E22" s="5"/>
      <c r="F22" s="5"/>
    </row>
    <row r="23" spans="1:10" ht="15.75" x14ac:dyDescent="0.25">
      <c r="A23" s="112" t="s">
        <v>50</v>
      </c>
      <c r="B23" s="112"/>
      <c r="C23" s="112"/>
      <c r="D23" s="112"/>
      <c r="E23" s="112"/>
      <c r="F23" s="112"/>
    </row>
    <row r="24" spans="1:10" ht="15.75" x14ac:dyDescent="0.25">
      <c r="A24" s="116" t="s">
        <v>51</v>
      </c>
      <c r="B24" s="117"/>
      <c r="C24" s="116" t="s">
        <v>52</v>
      </c>
      <c r="D24" s="117"/>
      <c r="E24" s="10" t="s">
        <v>53</v>
      </c>
      <c r="F24" s="10" t="s">
        <v>54</v>
      </c>
    </row>
    <row r="25" spans="1:10" ht="15.75" x14ac:dyDescent="0.25">
      <c r="A25" s="114">
        <f>Consumo_anual*Valor_Médio</f>
        <v>15552.000000000002</v>
      </c>
      <c r="B25" s="115"/>
      <c r="C25" s="114">
        <f>Preço_de_venda_final</f>
        <v>21762</v>
      </c>
      <c r="D25" s="115"/>
      <c r="E25" s="58">
        <f>TIR</f>
        <v>4.9118307032227505E-2</v>
      </c>
      <c r="F25" s="44">
        <f>Payback</f>
        <v>2.8158958624332415</v>
      </c>
    </row>
    <row r="27" spans="1:10" ht="15.75" x14ac:dyDescent="0.25">
      <c r="A27" s="113" t="s">
        <v>188</v>
      </c>
      <c r="B27" s="113"/>
      <c r="C27" s="113"/>
      <c r="D27" s="113"/>
      <c r="E27" s="113"/>
      <c r="F27" s="113"/>
    </row>
    <row r="28" spans="1:10" ht="15.75" x14ac:dyDescent="0.25">
      <c r="A28" s="92" t="s">
        <v>190</v>
      </c>
      <c r="B28" s="92" t="s">
        <v>191</v>
      </c>
      <c r="C28" s="92" t="s">
        <v>189</v>
      </c>
      <c r="D28" s="92" t="s">
        <v>180</v>
      </c>
      <c r="E28" s="92" t="s">
        <v>192</v>
      </c>
      <c r="F28" s="92" t="s">
        <v>193</v>
      </c>
    </row>
    <row r="29" spans="1:10" x14ac:dyDescent="0.25">
      <c r="A29" s="93">
        <v>1.4999999999999999E-2</v>
      </c>
      <c r="B29" s="94">
        <v>0</v>
      </c>
      <c r="C29" s="54">
        <v>12</v>
      </c>
      <c r="D29" s="95">
        <f t="shared" ref="D29:D36" si="0">PMT(A29,C29,-(Valor_do_investimento-B29))</f>
        <v>1995.1400056253542</v>
      </c>
      <c r="E29" s="57">
        <f>(D29*C29)+B29</f>
        <v>23941.68006750425</v>
      </c>
      <c r="F29" s="57">
        <f t="shared" ref="F29:F36" si="1">(C29*D29)-(Valor_do_investimento-B29)</f>
        <v>2179.6800675042505</v>
      </c>
    </row>
    <row r="30" spans="1:10" x14ac:dyDescent="0.25">
      <c r="A30" s="93">
        <v>1.4999999999999999E-2</v>
      </c>
      <c r="B30" s="94">
        <v>0</v>
      </c>
      <c r="C30" s="54">
        <v>24</v>
      </c>
      <c r="D30" s="95">
        <f t="shared" si="0"/>
        <v>1086.4483070604488</v>
      </c>
      <c r="E30" s="57">
        <f t="shared" ref="E30:E36" si="2">(D30*C30)+B30</f>
        <v>26074.75936945077</v>
      </c>
      <c r="F30" s="57">
        <f t="shared" si="1"/>
        <v>4312.7593694507705</v>
      </c>
    </row>
    <row r="31" spans="1:10" x14ac:dyDescent="0.25">
      <c r="A31" s="93">
        <v>1.4999999999999999E-2</v>
      </c>
      <c r="B31" s="94">
        <v>0</v>
      </c>
      <c r="C31" s="54">
        <v>36</v>
      </c>
      <c r="D31" s="95">
        <f t="shared" si="0"/>
        <v>786.74843165262223</v>
      </c>
      <c r="E31" s="57">
        <f t="shared" si="2"/>
        <v>28322.943539494401</v>
      </c>
      <c r="F31" s="57">
        <f t="shared" si="1"/>
        <v>6560.9435394944012</v>
      </c>
      <c r="I31" s="14"/>
    </row>
    <row r="32" spans="1:10" x14ac:dyDescent="0.25">
      <c r="A32" s="93">
        <v>1.4999999999999999E-2</v>
      </c>
      <c r="B32" s="94">
        <v>0</v>
      </c>
      <c r="C32" s="54">
        <v>48</v>
      </c>
      <c r="D32" s="95">
        <f t="shared" si="0"/>
        <v>639.25874147282593</v>
      </c>
      <c r="E32" s="57">
        <f t="shared" si="2"/>
        <v>30684.419590695645</v>
      </c>
      <c r="F32" s="57">
        <f t="shared" si="1"/>
        <v>8922.4195906956447</v>
      </c>
    </row>
    <row r="33" spans="1:6" x14ac:dyDescent="0.25">
      <c r="A33" s="93">
        <v>1.4999999999999999E-2</v>
      </c>
      <c r="B33" s="94">
        <v>0</v>
      </c>
      <c r="C33" s="54">
        <v>60</v>
      </c>
      <c r="D33" s="95">
        <f t="shared" si="0"/>
        <v>552.61176766874792</v>
      </c>
      <c r="E33" s="57">
        <f t="shared" si="2"/>
        <v>33156.706060124874</v>
      </c>
      <c r="F33" s="57">
        <f t="shared" si="1"/>
        <v>11394.706060124874</v>
      </c>
    </row>
    <row r="34" spans="1:6" x14ac:dyDescent="0.25">
      <c r="A34" s="93">
        <v>1.4999999999999999E-2</v>
      </c>
      <c r="B34" s="94">
        <v>0</v>
      </c>
      <c r="C34" s="54">
        <v>72</v>
      </c>
      <c r="D34" s="95">
        <f t="shared" si="0"/>
        <v>496.34314961053923</v>
      </c>
      <c r="E34" s="57">
        <f t="shared" si="2"/>
        <v>35736.706771958823</v>
      </c>
      <c r="F34" s="57">
        <f t="shared" si="1"/>
        <v>13974.706771958823</v>
      </c>
    </row>
    <row r="35" spans="1:6" x14ac:dyDescent="0.25">
      <c r="A35" s="93">
        <v>1.4999999999999999E-2</v>
      </c>
      <c r="B35" s="94">
        <v>0</v>
      </c>
      <c r="C35" s="54">
        <v>96</v>
      </c>
      <c r="D35" s="95">
        <f t="shared" si="0"/>
        <v>429.21658552331627</v>
      </c>
      <c r="E35" s="57">
        <f t="shared" si="2"/>
        <v>41204.79221023836</v>
      </c>
      <c r="F35" s="57">
        <f t="shared" si="1"/>
        <v>19442.79221023836</v>
      </c>
    </row>
    <row r="36" spans="1:6" x14ac:dyDescent="0.25">
      <c r="A36" s="93">
        <v>1.4999999999999999E-2</v>
      </c>
      <c r="B36" s="94">
        <v>0</v>
      </c>
      <c r="C36" s="54">
        <v>120</v>
      </c>
      <c r="D36" s="95">
        <f t="shared" si="0"/>
        <v>392.11903015301704</v>
      </c>
      <c r="E36" s="57">
        <f t="shared" si="2"/>
        <v>47054.283618362046</v>
      </c>
      <c r="F36" s="57">
        <f t="shared" si="1"/>
        <v>25292.283618362046</v>
      </c>
    </row>
    <row r="39" spans="1:6" ht="15.75" x14ac:dyDescent="0.25">
      <c r="A39" s="5" t="s">
        <v>58</v>
      </c>
      <c r="B39" s="5"/>
      <c r="C39" s="5"/>
      <c r="D39" s="5"/>
      <c r="E39" s="5"/>
      <c r="F39" s="5"/>
    </row>
    <row r="40" spans="1:6" ht="15.75" x14ac:dyDescent="0.25">
      <c r="A40" s="106" t="s">
        <v>59</v>
      </c>
      <c r="B40" s="106"/>
      <c r="C40" s="106"/>
      <c r="D40" s="106"/>
      <c r="E40" s="106"/>
      <c r="F40" s="106"/>
    </row>
    <row r="41" spans="1:6" ht="15.75" x14ac:dyDescent="0.25">
      <c r="A41" s="106" t="s">
        <v>60</v>
      </c>
      <c r="B41" s="106"/>
      <c r="C41" s="106"/>
      <c r="D41" s="106"/>
      <c r="E41" s="106"/>
      <c r="F41" s="106"/>
    </row>
    <row r="42" spans="1:6" ht="15.75" x14ac:dyDescent="0.25">
      <c r="A42" s="106" t="s">
        <v>61</v>
      </c>
      <c r="B42" s="106"/>
      <c r="C42" s="106"/>
      <c r="D42" s="106"/>
      <c r="E42" s="106"/>
      <c r="F42" s="106"/>
    </row>
  </sheetData>
  <mergeCells count="30">
    <mergeCell ref="A1:F1"/>
    <mergeCell ref="B3:E3"/>
    <mergeCell ref="B4:D4"/>
    <mergeCell ref="B5:E5"/>
    <mergeCell ref="B19:C19"/>
    <mergeCell ref="B6:E6"/>
    <mergeCell ref="B7:C7"/>
    <mergeCell ref="D7:E7"/>
    <mergeCell ref="B8:C8"/>
    <mergeCell ref="D8:E8"/>
    <mergeCell ref="D9:E9"/>
    <mergeCell ref="B10:C10"/>
    <mergeCell ref="B11:C11"/>
    <mergeCell ref="D11:E11"/>
    <mergeCell ref="A13:F13"/>
    <mergeCell ref="B18:C18"/>
    <mergeCell ref="I6:J6"/>
    <mergeCell ref="B9:C9"/>
    <mergeCell ref="A42:F42"/>
    <mergeCell ref="B20:C20"/>
    <mergeCell ref="B21:C21"/>
    <mergeCell ref="A40:F40"/>
    <mergeCell ref="A41:F41"/>
    <mergeCell ref="A17:F17"/>
    <mergeCell ref="A23:F23"/>
    <mergeCell ref="A27:F27"/>
    <mergeCell ref="A25:B25"/>
    <mergeCell ref="C25:D25"/>
    <mergeCell ref="A24:B24"/>
    <mergeCell ref="C24:D24"/>
  </mergeCells>
  <conditionalFormatting sqref="F19">
    <cfRule type="cellIs" dxfId="24" priority="2" operator="lessThan">
      <formula>#REF!</formula>
    </cfRule>
  </conditionalFormatting>
  <dataValidations xWindow="491" yWindow="406" count="12">
    <dataValidation type="decimal" showInputMessage="1" showErrorMessage="1" prompt="Digite um valor entre 75% e 85%_x000a_De acordo com a inclinação e orientação do telhado_x000a_" sqref="A19" xr:uid="{AD1A3C65-8B2B-41F8-A38F-C7093D8AE167}">
      <formula1>0.75</formula1>
      <formula2>0.85</formula2>
    </dataValidation>
    <dataValidation type="whole" operator="greaterThan" allowBlank="1" showInputMessage="1" showErrorMessage="1" prompt="Digie o consumo mensal médio aproximado" sqref="F8" xr:uid="{1375EB6E-FAB0-4662-915C-F7DCBB322F16}">
      <formula1>10</formula1>
    </dataValidation>
    <dataValidation type="decimal" showInputMessage="1" showErrorMessage="1" prompt="Valor em reais" sqref="F7" xr:uid="{FCAD63F5-BE65-439A-8150-28AC4E9B9E30}">
      <formula1>0.85</formula1>
      <formula2>1.3</formula2>
    </dataValidation>
    <dataValidation allowBlank="1" showInputMessage="1" showErrorMessage="1" prompt="Empresa onde trabalha, nome do marido/esposa, etc_x000a_" sqref="B4" xr:uid="{D2EE3099-F6A6-4530-A4FC-8F972289818E}"/>
    <dataValidation type="whole" allowBlank="1" showInputMessage="1" showErrorMessage="1" sqref="A21" xr:uid="{6D877610-03FB-4A3F-AB89-E5AD0C5F0135}">
      <formula1>1</formula1>
      <formula2>10</formula2>
    </dataValidation>
    <dataValidation type="textLength" operator="greaterThan" showInputMessage="1" showErrorMessage="1" prompt="Nome do cliente" sqref="B3 F3" xr:uid="{4F14AE54-5536-4F31-9C51-8093A13B4CCB}">
      <formula1>5</formula1>
    </dataValidation>
    <dataValidation type="textLength" allowBlank="1" showInputMessage="1" showErrorMessage="1" error="Insira somente o número, com DDD" prompt="Telefone para contato, somente número, com DDD_x000a_" sqref="F4" xr:uid="{1C75C254-A053-480A-90AF-D0A1396996FD}">
      <formula1>10</formula1>
      <formula2>11</formula2>
    </dataValidation>
    <dataValidation allowBlank="1" showErrorMessage="1" prompt="Digie o consumo mensal médio aproximado" sqref="F9" xr:uid="{C2EBE682-0B4C-4636-B9FC-0EDB35ED17F4}"/>
    <dataValidation type="textLength" operator="greaterThan" allowBlank="1" showInputMessage="1" showErrorMessage="1" prompt="Digite o número da unidade consumidora" sqref="B7:C7" xr:uid="{D9DA2D85-E7DE-4D84-A7D7-949E93453650}">
      <formula1>4</formula1>
    </dataValidation>
    <dataValidation allowBlank="1" showInputMessage="1" showErrorMessage="1" prompt="Endereço" sqref="B5:E5" xr:uid="{625E5217-3538-4F65-AA0B-81BC919527C7}"/>
    <dataValidation allowBlank="1" showInputMessage="1" showErrorMessage="1" prompt="Endereço da instalação" sqref="B6:E6" xr:uid="{7C5C3DBE-9167-4B79-80EC-E15BD6FD00A5}"/>
    <dataValidation type="date" showInputMessage="1" showErrorMessage="1" prompt="Digite a data desse orçamento_x000a_" sqref="B10:C10" xr:uid="{085F71E5-2170-48CD-B878-91554C517AC7}">
      <formula1>42736</formula1>
      <formula2>45658</formula2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ED426947-DEC7-4B41-BA29-A008F937BBF5}">
            <x14:iconSet iconSet="3Symbols2" custom="1">
              <x14:cfvo type="percent">
                <xm:f>0</xm:f>
              </x14:cfvo>
              <x14:cfvo type="percent">
                <xm:f>1</xm:f>
              </x14:cfvo>
              <x14:cfvo type="num">
                <xm:f>1.4</xm:f>
              </x14:cfvo>
              <x14:cfIcon iconSet="NoIcons" iconId="0"/>
              <x14:cfIcon iconSet="NoIcons" iconId="0"/>
              <x14:cfIcon iconSet="3Symbols2" iconId="0"/>
            </x14:iconSet>
          </x14:cfRule>
          <xm:sqref>D21</xm:sqref>
        </x14:conditionalFormatting>
        <x14:conditionalFormatting xmlns:xm="http://schemas.microsoft.com/office/excel/2006/main">
          <x14:cfRule type="iconSet" priority="1" id="{99F296A9-1163-4894-81A2-BE0C95058B3F}">
            <x14:iconSet iconSet="3Triangles" custom="1">
              <x14:cfvo type="percent">
                <xm:f>0</xm:f>
              </x14:cfvo>
              <x14:cfvo type="percent">
                <xm:f>IF($J$15&lt;=$J$14,$J$15+1,$J$15-1)</xm:f>
              </x14:cfvo>
              <x14:cfvo type="formula" gte="0">
                <xm:f>IF($J$15&gt;$J$14,$J$15-1,$J$15+1)</xm:f>
              </x14:cfvo>
              <x14:cfIcon iconSet="NoIcons" iconId="0"/>
              <x14:cfIcon iconSet="3Triangles" iconId="0"/>
              <x14:cfIcon iconSet="3Triangles" iconId="2"/>
            </x14:iconSet>
          </x14:cfRule>
          <xm:sqref>J15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491" yWindow="406" count="7">
        <x14:dataValidation type="list" allowBlank="1" showInputMessage="1" showErrorMessage="1" xr:uid="{F6258460-DC7B-4BFF-804B-187BDAED75DC}">
          <x14:formula1>
            <xm:f>OFFSET(Database!$B$3,0,0,COUNTA(Database!$B$3:$B$7),1)</xm:f>
          </x14:formula1>
          <xm:sqref>B8:C8</xm:sqref>
        </x14:dataValidation>
        <x14:dataValidation type="list" allowBlank="1" showInputMessage="1" showErrorMessage="1" xr:uid="{2F267540-9DBC-4493-881E-7A4B8ABA7CA7}">
          <x14:formula1>
            <xm:f>_xlfn.ANCHORARRAY(Auxiliar!$E$36)</xm:f>
          </x14:formula1>
          <xm:sqref>C15</xm:sqref>
        </x14:dataValidation>
        <x14:dataValidation type="list" allowBlank="1" showInputMessage="1" showErrorMessage="1" xr:uid="{A412BC2A-8E91-4C4B-A9D0-0B3FB124F875}">
          <x14:formula1>
            <xm:f>_xlfn.ANCHORARRAY(Auxiliar!$A$36)</xm:f>
          </x14:formula1>
          <xm:sqref>B15</xm:sqref>
        </x14:dataValidation>
        <x14:dataValidation type="list" allowBlank="1" showInputMessage="1" showErrorMessage="1" xr:uid="{965957F1-6AB8-42B8-B043-B7351FE99F2D}">
          <x14:formula1>
            <xm:f>_xlfn.ANCHORARRAY(Auxiliar!$I$36)</xm:f>
          </x14:formula1>
          <xm:sqref>B14</xm:sqref>
        </x14:dataValidation>
        <x14:dataValidation type="list" allowBlank="1" showInputMessage="1" showErrorMessage="1" xr:uid="{FD4F4F6F-1BBC-466B-83BE-4CC8727DA246}">
          <x14:formula1>
            <xm:f>_xlfn.ANCHORARRAY(Auxiliar!$M$36)</xm:f>
          </x14:formula1>
          <xm:sqref>C14</xm:sqref>
        </x14:dataValidation>
        <x14:dataValidation type="list" allowBlank="1" showInputMessage="1" showErrorMessage="1" xr:uid="{D3EDC497-6306-47D8-9270-EE2943AFA791}">
          <x14:formula1>
            <xm:f>OFFSET(Database!$F$3,0,0,COUNTA(Database!$F$3:$F$7),1)</xm:f>
          </x14:formula1>
          <xm:sqref>B9:C9</xm:sqref>
        </x14:dataValidation>
        <x14:dataValidation type="list" allowBlank="1" showErrorMessage="1" prompt="Digite a data desse orçamento_x000a_" xr:uid="{9CC581CD-5DE1-4E55-9B6E-EBDC686534CF}">
          <x14:formula1>
            <xm:f>_xlfn.ANCHORARRAY(Auxiliar!$R$36)</xm:f>
          </x14:formula1>
          <xm:sqref>B11:C11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A1:H14"/>
  <sheetViews>
    <sheetView workbookViewId="0">
      <selection activeCell="E2" sqref="E2:E13"/>
    </sheetView>
  </sheetViews>
  <sheetFormatPr defaultRowHeight="15" x14ac:dyDescent="0.25"/>
  <cols>
    <col min="1" max="1" width="7.140625" bestFit="1" customWidth="1"/>
    <col min="2" max="2" width="22.42578125" bestFit="1" customWidth="1"/>
    <col min="3" max="3" width="23.140625" bestFit="1" customWidth="1"/>
    <col min="4" max="4" width="21.42578125" bestFit="1" customWidth="1"/>
    <col min="5" max="5" width="18.85546875" bestFit="1" customWidth="1"/>
    <col min="7" max="7" width="17.5703125" bestFit="1" customWidth="1"/>
    <col min="8" max="8" width="17.7109375" customWidth="1"/>
    <col min="13" max="13" width="10.5703125" bestFit="1" customWidth="1"/>
  </cols>
  <sheetData>
    <row r="1" spans="1:8" x14ac:dyDescent="0.25">
      <c r="A1" t="s">
        <v>0</v>
      </c>
      <c r="B1" t="s">
        <v>70</v>
      </c>
      <c r="C1" t="s">
        <v>71</v>
      </c>
      <c r="D1" t="s">
        <v>69</v>
      </c>
      <c r="E1" t="s">
        <v>72</v>
      </c>
      <c r="G1" t="s">
        <v>23</v>
      </c>
      <c r="H1" s="3" t="s">
        <v>16</v>
      </c>
    </row>
    <row r="2" spans="1:8" x14ac:dyDescent="0.25">
      <c r="A2" t="s">
        <v>1</v>
      </c>
      <c r="B2" s="23">
        <f>P_sis*Geracao[[#This Row],[Irradiação (kW/m²dia)]]*30*Rendimento</f>
        <v>1295.4874636363638</v>
      </c>
      <c r="C2">
        <f>Consumo_Mensal</f>
        <v>1200</v>
      </c>
      <c r="D2" s="1" cm="1">
        <f t="array" ref="D2">INDEX(Auxiliar!$B$3:$AO$14,MATCH(Geracao[[#This Row],[Mês]],Auxiliar!$A$3:$A$14,0),MATCH(Orientacao&amp;Inclinação,Auxiliar!$B$1:$AO$1&amp;Auxiliar!$B$2:$AO$2,0))</f>
        <v>4.9608164983164986</v>
      </c>
      <c r="E2" s="23">
        <f>Geracao[[#This Row],[Geração (kWh/mês)]]-Geracao[[#This Row],[Consumo (kWh/mês)]]</f>
        <v>95.487463636363827</v>
      </c>
      <c r="G2" t="s">
        <v>13</v>
      </c>
      <c r="H2" s="4">
        <v>10</v>
      </c>
    </row>
    <row r="3" spans="1:8" x14ac:dyDescent="0.25">
      <c r="A3" t="s">
        <v>2</v>
      </c>
      <c r="B3" s="23">
        <f>P_sis*Geracao[[#This Row],[Irradiação (kW/m²dia)]]*30*Rendimento</f>
        <v>1271.7471</v>
      </c>
      <c r="C3">
        <f t="shared" ref="C3:C13" si="0">Consumo_Mensal</f>
        <v>1200</v>
      </c>
      <c r="D3" s="1" cm="1">
        <f t="array" ref="D3">INDEX(Auxiliar!$B$3:$AO$14,MATCH(Geracao[[#This Row],[Mês]],Auxiliar!$A$3:$A$14,0),MATCH(Orientacao&amp;Inclinação,Auxiliar!$B$1:$AO$1&amp;Auxiliar!$B$2:$AO$2,0))</f>
        <v>4.8699074074074069</v>
      </c>
      <c r="E3" s="23">
        <f>E2+Geracao[[#This Row],[Geração (kWh/mês)]]-Geracao[[#This Row],[Consumo (kWh/mês)]]</f>
        <v>167.23456363636387</v>
      </c>
      <c r="G3" t="s">
        <v>25</v>
      </c>
      <c r="H3" s="19">
        <f>Pot_real_do_sistema</f>
        <v>11.16</v>
      </c>
    </row>
    <row r="4" spans="1:8" x14ac:dyDescent="0.25">
      <c r="A4" t="s">
        <v>3</v>
      </c>
      <c r="B4" s="23">
        <f>P_sis*Geracao[[#This Row],[Irradiação (kW/m²dia)]]*30*Rendimento</f>
        <v>1329.0427090909093</v>
      </c>
      <c r="C4">
        <f t="shared" si="0"/>
        <v>1200</v>
      </c>
      <c r="D4" s="1" cm="1">
        <f t="array" ref="D4">INDEX(Auxiliar!$B$3:$AO$14,MATCH(Geracao[[#This Row],[Mês]],Auxiliar!$A$3:$A$14,0),MATCH(Orientacao&amp;Inclinação,Auxiliar!$B$1:$AO$1&amp;Auxiliar!$B$2:$AO$2,0))</f>
        <v>5.0893097643097649</v>
      </c>
      <c r="E4" s="23">
        <f>E3+Geracao[[#This Row],[Geração (kWh/mês)]]-Geracao[[#This Row],[Consumo (kWh/mês)]]</f>
        <v>296.27727272727316</v>
      </c>
      <c r="G4" t="s">
        <v>24</v>
      </c>
      <c r="H4" s="3">
        <v>0.78</v>
      </c>
    </row>
    <row r="5" spans="1:8" x14ac:dyDescent="0.25">
      <c r="A5" t="s">
        <v>4</v>
      </c>
      <c r="B5" s="23">
        <f>P_sis*Geracao[[#This Row],[Irradiação (kW/m²dia)]]*30*Rendimento</f>
        <v>1362.4550727272729</v>
      </c>
      <c r="C5">
        <f t="shared" si="0"/>
        <v>1200</v>
      </c>
      <c r="D5" s="1" cm="1">
        <f t="array" ref="D5">INDEX(Auxiliar!$B$3:$AO$14,MATCH(Geracao[[#This Row],[Mês]],Auxiliar!$A$3:$A$14,0),MATCH(Orientacao&amp;Inclinação,Auxiliar!$B$1:$AO$1&amp;Auxiliar!$B$2:$AO$2,0))</f>
        <v>5.217255892255892</v>
      </c>
      <c r="E5" s="23">
        <f>E4+Geracao[[#This Row],[Geração (kWh/mês)]]-Geracao[[#This Row],[Consumo (kWh/mês)]]</f>
        <v>458.73234545454602</v>
      </c>
    </row>
    <row r="6" spans="1:8" x14ac:dyDescent="0.25">
      <c r="A6" t="s">
        <v>5</v>
      </c>
      <c r="B6" s="23">
        <f>P_sis*Geracao[[#This Row],[Irradiação (kW/m²dia)]]*30*Rendimento</f>
        <v>1353.3436090909092</v>
      </c>
      <c r="C6">
        <f t="shared" si="0"/>
        <v>1200</v>
      </c>
      <c r="D6" s="1" cm="1">
        <f t="array" ref="D6">INDEX(Auxiliar!$B$3:$AO$14,MATCH(Geracao[[#This Row],[Mês]],Auxiliar!$A$3:$A$14,0),MATCH(Orientacao&amp;Inclinação,Auxiliar!$B$1:$AO$1&amp;Auxiliar!$B$2:$AO$2,0))</f>
        <v>5.1823653198653199</v>
      </c>
      <c r="E6" s="23">
        <f>E5+Geracao[[#This Row],[Geração (kWh/mês)]]-Geracao[[#This Row],[Consumo (kWh/mês)]]</f>
        <v>612.07595454545526</v>
      </c>
    </row>
    <row r="7" spans="1:8" x14ac:dyDescent="0.25">
      <c r="A7" t="s">
        <v>6</v>
      </c>
      <c r="B7" s="23">
        <f>P_sis*Geracao[[#This Row],[Irradiação (kW/m²dia)]]*30*Rendimento</f>
        <v>1116.3356454545456</v>
      </c>
      <c r="C7">
        <f t="shared" si="0"/>
        <v>1200</v>
      </c>
      <c r="D7" s="1" cm="1">
        <f t="array" ref="D7">INDEX(Auxiliar!$B$3:$AO$14,MATCH(Geracao[[#This Row],[Mês]],Auxiliar!$A$3:$A$14,0),MATCH(Orientacao&amp;Inclinação,Auxiliar!$B$1:$AO$1&amp;Auxiliar!$B$2:$AO$2,0))</f>
        <v>4.2747895622895626</v>
      </c>
      <c r="E7" s="23">
        <f>E6+Geracao[[#This Row],[Geração (kWh/mês)]]-Geracao[[#This Row],[Consumo (kWh/mês)]]</f>
        <v>528.41160000000082</v>
      </c>
      <c r="H7" s="20"/>
    </row>
    <row r="8" spans="1:8" x14ac:dyDescent="0.25">
      <c r="A8" t="s">
        <v>7</v>
      </c>
      <c r="B8" s="23">
        <f>P_sis*Geracao[[#This Row],[Irradiação (kW/m²dia)]]*30*Rendimento</f>
        <v>1364.4774000000002</v>
      </c>
      <c r="C8">
        <f t="shared" si="0"/>
        <v>1200</v>
      </c>
      <c r="D8" s="1" cm="1">
        <f t="array" ref="D8">INDEX(Auxiliar!$B$3:$AO$14,MATCH(Geracao[[#This Row],[Mês]],Auxiliar!$A$3:$A$14,0),MATCH(Orientacao&amp;Inclinação,Auxiliar!$B$1:$AO$1&amp;Auxiliar!$B$2:$AO$2,0))</f>
        <v>5.2250000000000005</v>
      </c>
      <c r="E8" s="23">
        <f>E7+Geracao[[#This Row],[Geração (kWh/mês)]]-Geracao[[#This Row],[Consumo (kWh/mês)]]</f>
        <v>692.88900000000103</v>
      </c>
      <c r="H8" s="20"/>
    </row>
    <row r="9" spans="1:8" x14ac:dyDescent="0.25">
      <c r="A9" t="s">
        <v>8</v>
      </c>
      <c r="B9" s="23">
        <f>P_sis*Geracao[[#This Row],[Irradiação (kW/m²dia)]]*30*Rendimento</f>
        <v>1245.4018909090908</v>
      </c>
      <c r="C9">
        <f t="shared" si="0"/>
        <v>1200</v>
      </c>
      <c r="D9" s="1" cm="1">
        <f t="array" ref="D9">INDEX(Auxiliar!$B$3:$AO$14,MATCH(Geracao[[#This Row],[Mês]],Auxiliar!$A$3:$A$14,0),MATCH(Orientacao&amp;Inclinação,Auxiliar!$B$1:$AO$1&amp;Auxiliar!$B$2:$AO$2,0))</f>
        <v>4.7690235690235685</v>
      </c>
      <c r="E9" s="23">
        <f>E8+Geracao[[#This Row],[Geração (kWh/mês)]]-Geracao[[#This Row],[Consumo (kWh/mês)]]</f>
        <v>738.29089090909179</v>
      </c>
    </row>
    <row r="10" spans="1:8" x14ac:dyDescent="0.25">
      <c r="A10" t="s">
        <v>9</v>
      </c>
      <c r="B10" s="23">
        <f>P_sis*Geracao[[#This Row],[Irradiação (kW/m²dia)]]*30*Rendimento</f>
        <v>1175.8624090909093</v>
      </c>
      <c r="C10">
        <f t="shared" si="0"/>
        <v>1200</v>
      </c>
      <c r="D10" s="1" cm="1">
        <f t="array" ref="D10">INDEX(Auxiliar!$B$3:$AO$14,MATCH(Geracao[[#This Row],[Mês]],Auxiliar!$A$3:$A$14,0),MATCH(Orientacao&amp;Inclinação,Auxiliar!$B$1:$AO$1&amp;Auxiliar!$B$2:$AO$2,0))</f>
        <v>4.5027356902356903</v>
      </c>
      <c r="E10" s="23">
        <f>E9+Geracao[[#This Row],[Geração (kWh/mês)]]-Geracao[[#This Row],[Consumo (kWh/mês)]]</f>
        <v>714.15330000000108</v>
      </c>
      <c r="G10" t="s">
        <v>73</v>
      </c>
      <c r="H10" s="21">
        <f>SUM(Geracao[Consumo (kWh/mês)])</f>
        <v>14400</v>
      </c>
    </row>
    <row r="11" spans="1:8" x14ac:dyDescent="0.25">
      <c r="A11" t="s">
        <v>10</v>
      </c>
      <c r="B11" s="23">
        <f>P_sis*Geracao[[#This Row],[Irradiação (kW/m²dia)]]*30*Rendimento</f>
        <v>1408.8147272727272</v>
      </c>
      <c r="C11">
        <f t="shared" si="0"/>
        <v>1200</v>
      </c>
      <c r="D11" s="1" cm="1">
        <f t="array" ref="D11">INDEX(Auxiliar!$B$3:$AO$14,MATCH(Geracao[[#This Row],[Mês]],Auxiliar!$A$3:$A$14,0),MATCH(Orientacao&amp;Inclinação,Auxiliar!$B$1:$AO$1&amp;Auxiliar!$B$2:$AO$2,0))</f>
        <v>5.3947811447811445</v>
      </c>
      <c r="E11" s="23">
        <f>E10+Geracao[[#This Row],[Geração (kWh/mês)]]-Geracao[[#This Row],[Consumo (kWh/mês)]]</f>
        <v>922.96802727272825</v>
      </c>
      <c r="G11" t="s">
        <v>74</v>
      </c>
      <c r="H11" s="21">
        <f>SUM(Geracao[Geração (kWh/mês)])</f>
        <v>15642.998209090909</v>
      </c>
    </row>
    <row r="12" spans="1:8" x14ac:dyDescent="0.25">
      <c r="A12" t="s">
        <v>11</v>
      </c>
      <c r="B12" s="23">
        <f>P_sis*Geracao[[#This Row],[Irradiação (kW/m²dia)]]*30*Rendimento</f>
        <v>1305.8408999999999</v>
      </c>
      <c r="C12">
        <f t="shared" si="0"/>
        <v>1200</v>
      </c>
      <c r="D12" s="1" cm="1">
        <f t="array" ref="D12">INDEX(Auxiliar!$B$3:$AO$14,MATCH(Geracao[[#This Row],[Mês]],Auxiliar!$A$3:$A$14,0),MATCH(Orientacao&amp;Inclinação,Auxiliar!$B$1:$AO$1&amp;Auxiliar!$B$2:$AO$2,0))</f>
        <v>5.0004629629629624</v>
      </c>
      <c r="E12" s="23">
        <f>E11+Geracao[[#This Row],[Geração (kWh/mês)]]-Geracao[[#This Row],[Consumo (kWh/mês)]]</f>
        <v>1028.8089272727284</v>
      </c>
      <c r="G12" t="s">
        <v>75</v>
      </c>
      <c r="H12" s="22">
        <f>H11/H10</f>
        <v>1.0863193200757575</v>
      </c>
    </row>
    <row r="13" spans="1:8" x14ac:dyDescent="0.25">
      <c r="A13" t="s">
        <v>12</v>
      </c>
      <c r="B13" s="23">
        <f>P_sis*Geracao[[#This Row],[Irradiação (kW/m²dia)]]*30*Rendimento</f>
        <v>1414.1892818181821</v>
      </c>
      <c r="C13">
        <f t="shared" si="0"/>
        <v>1200</v>
      </c>
      <c r="D13" s="1" cm="1">
        <f t="array" ref="D13">INDEX(Auxiliar!$B$3:$AO$14,MATCH(Geracao[[#This Row],[Mês]],Auxiliar!$A$3:$A$14,0),MATCH(Orientacao&amp;Inclinação,Auxiliar!$B$1:$AO$1&amp;Auxiliar!$B$2:$AO$2,0))</f>
        <v>5.4153619528619537</v>
      </c>
      <c r="E13" s="23">
        <f>E12+Geracao[[#This Row],[Geração (kWh/mês)]]-Geracao[[#This Row],[Consumo (kWh/mês)]]</f>
        <v>1242.9982090909107</v>
      </c>
    </row>
    <row r="14" spans="1:8" x14ac:dyDescent="0.25">
      <c r="A14" t="s">
        <v>22</v>
      </c>
      <c r="B14" s="1">
        <f>SUBTOTAL(101,Geracao[Geração (kWh/mês)])</f>
        <v>1303.5831840909091</v>
      </c>
      <c r="C14" s="1">
        <f>SUBTOTAL(101,Geracao[Consumo (kWh/mês)])</f>
        <v>1200</v>
      </c>
      <c r="D14" s="1">
        <f>SUBTOTAL(101,Geracao[Irradiação (kW/m²dia)])</f>
        <v>4.9918174803591464</v>
      </c>
    </row>
  </sheetData>
  <dataConsolidate/>
  <conditionalFormatting sqref="B2:B13">
    <cfRule type="top10" dxfId="21" priority="1" rank="1"/>
  </conditionalFormatting>
  <dataValidations count="2">
    <dataValidation type="list" allowBlank="1" showInputMessage="1" showErrorMessage="1" sqref="H1" xr:uid="{71773601-871E-4C0E-887F-2928D5383772}">
      <formula1>"N,NE,E,SE,S,SO,O,NO"</formula1>
    </dataValidation>
    <dataValidation type="list" allowBlank="1" showInputMessage="1" showErrorMessage="1" sqref="H2" xr:uid="{55AA412C-74F3-457F-B616-F4B8DD5AA238}">
      <formula1>"5,10,15,20,25"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6B16E-2038-41E7-BF9D-ACA5C4E6A052}">
  <sheetPr codeName="Planilha3"/>
  <dimension ref="A1:U28"/>
  <sheetViews>
    <sheetView topLeftCell="I1" workbookViewId="0">
      <selection activeCell="O2" sqref="O2:O7"/>
    </sheetView>
  </sheetViews>
  <sheetFormatPr defaultRowHeight="15" x14ac:dyDescent="0.25"/>
  <cols>
    <col min="1" max="1" width="22.42578125" customWidth="1"/>
    <col min="2" max="2" width="28.140625" customWidth="1"/>
    <col min="3" max="3" width="3" customWidth="1"/>
    <col min="4" max="4" width="26.28515625" bestFit="1" customWidth="1"/>
    <col min="5" max="5" width="24" bestFit="1" customWidth="1"/>
    <col min="6" max="6" width="3.42578125" customWidth="1"/>
    <col min="7" max="7" width="39" customWidth="1"/>
    <col min="8" max="8" width="13.28515625" bestFit="1" customWidth="1"/>
    <col min="11" max="11" width="14.140625" customWidth="1"/>
    <col min="12" max="12" width="12.42578125" customWidth="1"/>
    <col min="13" max="13" width="19.85546875" bestFit="1" customWidth="1"/>
    <col min="14" max="14" width="19.85546875" customWidth="1"/>
    <col min="15" max="15" width="19.85546875" bestFit="1" customWidth="1"/>
    <col min="16" max="16" width="3.42578125" customWidth="1"/>
    <col min="17" max="17" width="18.140625" customWidth="1"/>
    <col min="18" max="18" width="14.28515625" bestFit="1" customWidth="1"/>
    <col min="20" max="20" width="18.85546875" customWidth="1"/>
    <col min="21" max="21" width="16.7109375" customWidth="1"/>
  </cols>
  <sheetData>
    <row r="1" spans="1:21" ht="15.75" x14ac:dyDescent="0.25">
      <c r="A1" s="2" t="s">
        <v>99</v>
      </c>
      <c r="B1" s="56" t="str">
        <f>Ligacao</f>
        <v>BIFÁSICO</v>
      </c>
      <c r="D1" s="2" t="s">
        <v>65</v>
      </c>
      <c r="E1" s="54" t="str">
        <f>Tipo</f>
        <v>RESIDENCIAL</v>
      </c>
      <c r="G1" s="2" t="s">
        <v>129</v>
      </c>
      <c r="H1" s="53">
        <f>Consumo_Mensal*Valor_Médio</f>
        <v>1296</v>
      </c>
      <c r="J1" s="5" t="s">
        <v>68</v>
      </c>
      <c r="K1" s="5" t="s">
        <v>105</v>
      </c>
      <c r="L1" s="5" t="s">
        <v>106</v>
      </c>
      <c r="M1" s="5" t="s">
        <v>107</v>
      </c>
      <c r="N1" s="5" t="s">
        <v>104</v>
      </c>
      <c r="O1" s="5" t="s">
        <v>86</v>
      </c>
      <c r="Q1" s="77" t="s">
        <v>85</v>
      </c>
      <c r="R1" s="83">
        <v>0.08</v>
      </c>
    </row>
    <row r="2" spans="1:21" x14ac:dyDescent="0.25">
      <c r="A2" s="2" t="s">
        <v>96</v>
      </c>
      <c r="B2" s="52">
        <f>VLOOKUP(B1,Tabela_Tipos_de_Ligação[[Descrição]:[Taxa Disp.]],2,FALSE)</f>
        <v>50</v>
      </c>
      <c r="C2" s="48"/>
      <c r="D2" s="2" t="s">
        <v>100</v>
      </c>
      <c r="E2" s="55">
        <f>VLOOKUP(E1,Tabela_Tipos_de_Cliente[[Descrição]:[Autoconsumo]],2,FALSE)</f>
        <v>0.25</v>
      </c>
      <c r="G2" s="2" t="s">
        <v>130</v>
      </c>
      <c r="H2" s="57">
        <f>(B3+E5+B4)</f>
        <v>209.41948012132389</v>
      </c>
      <c r="J2">
        <v>1</v>
      </c>
      <c r="K2" s="59">
        <f>H1*12</f>
        <v>15552</v>
      </c>
      <c r="L2" s="59">
        <f>H5</f>
        <v>2513.0337614558866</v>
      </c>
      <c r="M2" s="24">
        <f>Financeiro[[#This Row],[Conta sem energia solar]]-Financeiro[[#This Row],[Conta com energia Solar]]</f>
        <v>13038.966238544113</v>
      </c>
      <c r="N2" s="24">
        <f>IF(Financeiro[[#This Row],[Ano]]-2&lt;0,0,IF(Financeiro[[#This Row],[Ano]]-INT(Financeiro[[#This Row],[Ano]])&lt;&gt;0,"quebrado",(Gasto_anual_Aprox*(1+Inflação_anual)^(Financeiro[[#This Row],[Ano]]-2))))</f>
        <v>0</v>
      </c>
      <c r="O2" s="1">
        <f>IF(Financeiro[[#This Row],[Ano]]-2&lt;0,(-Valor_do_investimento),O1+Financeiro[[#This Row],[Conta de energia sem energia solar]]-Financeiro[[#This Row],[Conta com energia Solar]])</f>
        <v>-21762</v>
      </c>
      <c r="Q2" s="62" t="s">
        <v>87</v>
      </c>
      <c r="R2" s="84">
        <f>IF(O5&gt;0,(O4*(-1))/N4+J4,IF(O6&gt;0,(O5*(-1))/N5+J5,IF(O7&gt;0,(O6*(-1))/N6+J6,"&gt;6 anos")))</f>
        <v>2.8158958624332415</v>
      </c>
    </row>
    <row r="3" spans="1:21" ht="15.75" thickBot="1" x14ac:dyDescent="0.3">
      <c r="A3" s="2" t="s">
        <v>98</v>
      </c>
      <c r="B3" s="53">
        <f>B2*Valor_Médio</f>
        <v>54</v>
      </c>
      <c r="C3" s="24"/>
      <c r="D3" s="2" t="s">
        <v>91</v>
      </c>
      <c r="E3" s="52">
        <f>(Geração_Total/12)*E2</f>
        <v>325.89579602272727</v>
      </c>
      <c r="J3">
        <v>2</v>
      </c>
      <c r="K3" s="59">
        <f>K2*(1+Inflação_anual)</f>
        <v>16796.16</v>
      </c>
      <c r="L3" s="59">
        <f>H6*(1+Inflação_anual)^(Financeiro[[#This Row],[Ano]]-1)</f>
        <v>3299.0886164964763</v>
      </c>
      <c r="M3" s="24">
        <f>Financeiro[[#This Row],[Conta sem energia solar]]-Financeiro[[#This Row],[Conta com energia Solar]]</f>
        <v>13497.071383503524</v>
      </c>
      <c r="N3" s="24">
        <f>IF(Financeiro[[#This Row],[Ano]]-2&lt;0,0,IF(Financeiro[[#This Row],[Ano]]-INT(Financeiro[[#This Row],[Ano]])&lt;&gt;0,"quebrado",(Gasto_anual_Aprox*(1+Inflação_anual)^(Financeiro[[#This Row],[Ano]]-2))))</f>
        <v>15552.000000000002</v>
      </c>
      <c r="O3" s="1">
        <f>IF(Financeiro[[#This Row],[Ano]]-2&lt;0,(-Valor_do_investimento),O2+Financeiro[[#This Row],[Conta de energia sem energia solar]]-Financeiro[[#This Row],[Conta com energia Solar]])</f>
        <v>-9509.0886164964741</v>
      </c>
      <c r="Q3" s="64" t="s">
        <v>128</v>
      </c>
      <c r="R3" s="85">
        <f>Payback*12</f>
        <v>33.790750349198902</v>
      </c>
    </row>
    <row r="4" spans="1:21" x14ac:dyDescent="0.25">
      <c r="A4" s="2" t="s">
        <v>103</v>
      </c>
      <c r="B4" s="51">
        <v>20</v>
      </c>
      <c r="D4" s="2" t="s">
        <v>101</v>
      </c>
      <c r="E4" s="52">
        <f>(Geração_Total/12)*(1-E2)</f>
        <v>977.6873880681818</v>
      </c>
      <c r="J4">
        <v>3</v>
      </c>
      <c r="K4" s="59">
        <f>K3*(1+Inflação_anual)</f>
        <v>18139.852800000001</v>
      </c>
      <c r="L4" s="59">
        <f>H7*(1+Inflação_anual)^(Financeiro[[#This Row],[Ano]]-1)</f>
        <v>4194.8288322702438</v>
      </c>
      <c r="M4" s="24">
        <f>Financeiro[[#This Row],[Conta sem energia solar]]-Financeiro[[#This Row],[Conta com energia Solar]]</f>
        <v>13945.023967729758</v>
      </c>
      <c r="N4" s="24">
        <f>IF(Financeiro[[#This Row],[Ano]]-2&lt;0,0,IF(Financeiro[[#This Row],[Ano]]-INT(Financeiro[[#This Row],[Ano]])&lt;&gt;0,"quebrado",(Gasto_anual_Aprox*(1+Inflação_anual)^(Financeiro[[#This Row],[Ano]]-2))))</f>
        <v>16796.160000000003</v>
      </c>
      <c r="O4" s="1">
        <f>IF(Financeiro[[#This Row],[Ano]]-2&lt;0,(-Valor_do_investimento),O3+Financeiro[[#This Row],[Conta de energia sem energia solar]]-Financeiro[[#This Row],[Conta com energia Solar]])</f>
        <v>3092.2425512332857</v>
      </c>
    </row>
    <row r="5" spans="1:21" ht="15.75" thickBot="1" x14ac:dyDescent="0.3">
      <c r="D5" s="2" t="s">
        <v>108</v>
      </c>
      <c r="E5" s="53">
        <f>Database!W3*Valor_Médio*$E$4</f>
        <v>135.41948012132389</v>
      </c>
      <c r="G5" s="2" t="s">
        <v>114</v>
      </c>
      <c r="H5" s="50">
        <f t="shared" ref="H5:H10" si="0">($B$3+$B$4+E5)*12</f>
        <v>2513.0337614558866</v>
      </c>
      <c r="J5">
        <v>4</v>
      </c>
      <c r="K5" s="59">
        <f>K4*(1+Inflação_anual)</f>
        <v>19591.041024000002</v>
      </c>
      <c r="L5" s="59">
        <f>H8*(1+Inflação_anual)^(Financeiro[[#This Row],[Ano]]-1)</f>
        <v>5212.773315422236</v>
      </c>
      <c r="M5" s="24">
        <f>Financeiro[[#This Row],[Conta sem energia solar]]-Financeiro[[#This Row],[Conta com energia Solar]]</f>
        <v>14378.267708577765</v>
      </c>
      <c r="N5" s="24">
        <f>IF(Financeiro[[#This Row],[Ano]]-2&lt;0,0,IF(Financeiro[[#This Row],[Ano]]-INT(Financeiro[[#This Row],[Ano]])&lt;&gt;0,"quebrado",(Gasto_anual_Aprox*(1+Inflação_anual)^(Financeiro[[#This Row],[Ano]]-2))))</f>
        <v>18139.852800000004</v>
      </c>
      <c r="O5" s="1">
        <f>IF(Financeiro[[#This Row],[Ano]]-2&lt;0,(-Valor_do_investimento),O4+Financeiro[[#This Row],[Conta de energia sem energia solar]]-Financeiro[[#This Row],[Conta com energia Solar]])</f>
        <v>16019.322035811052</v>
      </c>
    </row>
    <row r="6" spans="1:21" x14ac:dyDescent="0.25">
      <c r="D6" s="2" t="s">
        <v>109</v>
      </c>
      <c r="E6" s="53">
        <f>Database!W4*Valor_Médio*$E$4</f>
        <v>180.5593068284318</v>
      </c>
      <c r="G6" s="2" t="s">
        <v>115</v>
      </c>
      <c r="H6" s="50">
        <f t="shared" si="0"/>
        <v>3054.7116819411817</v>
      </c>
      <c r="J6">
        <v>5</v>
      </c>
      <c r="K6" s="59">
        <f>K5*(1+Inflação_anual)</f>
        <v>21158.324305920003</v>
      </c>
      <c r="L6" s="59">
        <f>H9*(1+Inflação_anual)^(Financeiro[[#This Row],[Ano]]-1)</f>
        <v>6121.0930677866836</v>
      </c>
      <c r="M6" s="24">
        <f>Financeiro[[#This Row],[Conta sem energia solar]]-Financeiro[[#This Row],[Conta com energia Solar]]</f>
        <v>15037.231238133319</v>
      </c>
      <c r="N6" s="24">
        <f>IF(Financeiro[[#This Row],[Ano]]-2&lt;0,0,IF(Financeiro[[#This Row],[Ano]]-INT(Financeiro[[#This Row],[Ano]])&lt;&gt;0,"quebrado",(Gasto_anual_Aprox*(1+Inflação_anual)^(Financeiro[[#This Row],[Ano]]-2))))</f>
        <v>19591.041024000006</v>
      </c>
      <c r="O6" s="1">
        <f>IF(Financeiro[[#This Row],[Ano]]-2&lt;0,(-Valor_do_investimento),O5+Financeiro[[#This Row],[Conta de energia sem energia solar]]-Financeiro[[#This Row],[Conta com energia Solar]])</f>
        <v>29489.269992024376</v>
      </c>
      <c r="Q6" s="77" t="s">
        <v>121</v>
      </c>
      <c r="R6" s="78">
        <f>-Valor_do_investimento</f>
        <v>-21762</v>
      </c>
    </row>
    <row r="7" spans="1:21" x14ac:dyDescent="0.25">
      <c r="D7" s="2" t="s">
        <v>110</v>
      </c>
      <c r="E7" s="53">
        <f>Database!W5*Valor_Médio*$E$4</f>
        <v>225.69913353553977</v>
      </c>
      <c r="G7" s="2" t="s">
        <v>116</v>
      </c>
      <c r="H7" s="50">
        <f t="shared" si="0"/>
        <v>3596.3896024264773</v>
      </c>
      <c r="J7">
        <v>6</v>
      </c>
      <c r="K7" s="59">
        <f>K6*(1+Inflação_anual)</f>
        <v>22850.990250393606</v>
      </c>
      <c r="L7" s="59">
        <f>H10*(1+Inflação_anual)^(Financeiro[[#This Row],[Ano]]-1)</f>
        <v>6610.7805132096182</v>
      </c>
      <c r="M7" s="24">
        <f>Financeiro[[#This Row],[Conta sem energia solar]]-Financeiro[[#This Row],[Conta com energia Solar]]</f>
        <v>16240.209737183988</v>
      </c>
      <c r="N7" s="24">
        <f>IF(Financeiro[[#This Row],[Ano]]-2&lt;0,0,IF(Financeiro[[#This Row],[Ano]]-INT(Financeiro[[#This Row],[Ano]])&lt;&gt;0,"quebrado",(Gasto_anual_Aprox*(1+Inflação_anual)^(Financeiro[[#This Row],[Ano]]-2))))</f>
        <v>21158.324305920007</v>
      </c>
      <c r="O7" s="1">
        <f>IF(Financeiro[[#This Row],[Ano]]-2&lt;0,(-Valor_do_investimento),O6+Financeiro[[#This Row],[Conta de energia sem energia solar]]-Financeiro[[#This Row],[Conta com energia Solar]])</f>
        <v>44036.813784734761</v>
      </c>
      <c r="Q7" s="62" t="s">
        <v>120</v>
      </c>
      <c r="R7" s="79">
        <f t="shared" ref="R7:R12" si="1">M2</f>
        <v>13038.966238544113</v>
      </c>
    </row>
    <row r="8" spans="1:21" x14ac:dyDescent="0.25">
      <c r="D8" s="2" t="s">
        <v>111</v>
      </c>
      <c r="E8" s="53">
        <f>Database!W6*Valor_Médio*$E$4</f>
        <v>270.83896024264777</v>
      </c>
      <c r="G8" s="2" t="s">
        <v>117</v>
      </c>
      <c r="H8" s="50">
        <f t="shared" si="0"/>
        <v>4138.0675229117733</v>
      </c>
      <c r="K8" s="14"/>
      <c r="L8" s="14"/>
      <c r="M8" s="24"/>
      <c r="N8" s="24"/>
      <c r="O8" s="15"/>
      <c r="Q8" s="62" t="s">
        <v>122</v>
      </c>
      <c r="R8" s="79">
        <f t="shared" si="1"/>
        <v>13497.071383503524</v>
      </c>
    </row>
    <row r="9" spans="1:21" x14ac:dyDescent="0.25">
      <c r="D9" s="2" t="s">
        <v>112</v>
      </c>
      <c r="E9" s="53">
        <f>Database!W7*Valor_Médio*$E$4</f>
        <v>300.9321780473864</v>
      </c>
      <c r="G9" s="2" t="s">
        <v>118</v>
      </c>
      <c r="H9" s="50">
        <f t="shared" si="0"/>
        <v>4499.1861365686364</v>
      </c>
      <c r="K9" s="14"/>
      <c r="L9" s="14"/>
      <c r="M9" s="24"/>
      <c r="N9" s="24"/>
      <c r="O9" s="15"/>
      <c r="Q9" s="62" t="s">
        <v>123</v>
      </c>
      <c r="R9" s="79">
        <f t="shared" si="1"/>
        <v>13945.023967729758</v>
      </c>
    </row>
    <row r="10" spans="1:21" x14ac:dyDescent="0.25">
      <c r="D10" s="2" t="s">
        <v>113</v>
      </c>
      <c r="E10" s="53">
        <f>Database!W8*Valor_Médio*$E$4</f>
        <v>300.9321780473864</v>
      </c>
      <c r="G10" s="2" t="s">
        <v>119</v>
      </c>
      <c r="H10" s="50">
        <f t="shared" si="0"/>
        <v>4499.1861365686364</v>
      </c>
      <c r="K10" s="14"/>
      <c r="L10" s="14"/>
      <c r="M10" s="24"/>
      <c r="N10" s="24"/>
      <c r="O10" s="15"/>
      <c r="Q10" s="62" t="s">
        <v>124</v>
      </c>
      <c r="R10" s="79">
        <f t="shared" si="1"/>
        <v>14378.267708577765</v>
      </c>
    </row>
    <row r="11" spans="1:21" x14ac:dyDescent="0.25">
      <c r="K11" s="14"/>
      <c r="L11" s="14"/>
      <c r="M11" s="24"/>
      <c r="N11" s="24"/>
      <c r="O11" s="15"/>
      <c r="Q11" s="62" t="s">
        <v>125</v>
      </c>
      <c r="R11" s="79">
        <f t="shared" si="1"/>
        <v>15037.231238133319</v>
      </c>
    </row>
    <row r="12" spans="1:21" x14ac:dyDescent="0.25">
      <c r="K12" s="14"/>
      <c r="L12" s="14"/>
      <c r="M12" s="24"/>
      <c r="N12" s="24"/>
      <c r="O12" s="15"/>
      <c r="Q12" s="62" t="s">
        <v>126</v>
      </c>
      <c r="R12" s="79">
        <f t="shared" si="1"/>
        <v>16240.209737183988</v>
      </c>
    </row>
    <row r="13" spans="1:21" ht="15.75" thickBot="1" x14ac:dyDescent="0.3">
      <c r="K13" s="14"/>
      <c r="L13" s="14"/>
      <c r="M13" s="24"/>
      <c r="N13" s="24"/>
      <c r="O13" s="15"/>
      <c r="Q13" s="64" t="s">
        <v>127</v>
      </c>
      <c r="R13" s="80">
        <f>IRR(R6:R12)/12</f>
        <v>4.9118307032227505E-2</v>
      </c>
    </row>
    <row r="14" spans="1:21" ht="15.75" thickBot="1" x14ac:dyDescent="0.3">
      <c r="K14" s="14"/>
      <c r="L14" s="14"/>
      <c r="M14" s="24"/>
      <c r="N14" s="24"/>
      <c r="O14" s="15"/>
    </row>
    <row r="15" spans="1:21" ht="15.75" thickBot="1" x14ac:dyDescent="0.3">
      <c r="K15" s="14"/>
      <c r="L15" s="14"/>
      <c r="M15" s="24"/>
      <c r="N15" s="24"/>
      <c r="O15" s="15"/>
      <c r="Q15" s="126" t="s">
        <v>180</v>
      </c>
      <c r="R15" s="127"/>
      <c r="T15" s="126" t="s">
        <v>180</v>
      </c>
      <c r="U15" s="127"/>
    </row>
    <row r="16" spans="1:21" x14ac:dyDescent="0.25">
      <c r="K16" s="14"/>
      <c r="L16" s="14"/>
      <c r="M16" s="24"/>
      <c r="N16" s="24"/>
      <c r="O16" s="15"/>
      <c r="Q16" s="77" t="s">
        <v>176</v>
      </c>
      <c r="R16" s="78">
        <f>Valor_do_investimento</f>
        <v>21762</v>
      </c>
      <c r="T16" s="77" t="s">
        <v>176</v>
      </c>
      <c r="U16" s="78">
        <v>11990</v>
      </c>
    </row>
    <row r="17" spans="11:21" x14ac:dyDescent="0.25">
      <c r="K17" s="14"/>
      <c r="L17" s="14"/>
      <c r="M17" s="24"/>
      <c r="N17" s="24"/>
      <c r="O17" s="15"/>
      <c r="Q17" s="62" t="s">
        <v>177</v>
      </c>
      <c r="R17" s="81">
        <v>48</v>
      </c>
      <c r="T17" s="62" t="s">
        <v>177</v>
      </c>
      <c r="U17" s="81">
        <v>48</v>
      </c>
    </row>
    <row r="18" spans="11:21" x14ac:dyDescent="0.25">
      <c r="K18" s="14"/>
      <c r="L18" s="14"/>
      <c r="M18" s="24"/>
      <c r="N18" s="24"/>
      <c r="O18" s="15"/>
      <c r="Q18" s="62" t="s">
        <v>178</v>
      </c>
      <c r="R18" s="82">
        <v>1.4999999999999999E-2</v>
      </c>
      <c r="T18" s="62" t="s">
        <v>178</v>
      </c>
      <c r="U18" s="82">
        <v>2.1000000000000001E-2</v>
      </c>
    </row>
    <row r="19" spans="11:21" x14ac:dyDescent="0.25">
      <c r="K19" s="14"/>
      <c r="L19" s="14"/>
      <c r="M19" s="24"/>
      <c r="N19" s="24"/>
      <c r="O19" s="15"/>
      <c r="Q19" s="62" t="s">
        <v>179</v>
      </c>
      <c r="R19" s="88">
        <f>PMT(R18,R17,-R16)</f>
        <v>639.25874147282593</v>
      </c>
      <c r="T19" s="62" t="s">
        <v>179</v>
      </c>
      <c r="U19" s="88">
        <f>PMT(U18,U17,-U16)</f>
        <v>398.89260570036089</v>
      </c>
    </row>
    <row r="20" spans="11:21" x14ac:dyDescent="0.25">
      <c r="K20" s="14"/>
      <c r="L20" s="14"/>
      <c r="M20" s="24"/>
      <c r="N20" s="24"/>
      <c r="O20" s="15"/>
      <c r="Q20" s="62" t="s">
        <v>182</v>
      </c>
      <c r="R20" s="79">
        <f>R19*R17</f>
        <v>30684.419590695645</v>
      </c>
      <c r="T20" s="62" t="s">
        <v>182</v>
      </c>
      <c r="U20" s="79">
        <f>U19*U17</f>
        <v>19146.845073617322</v>
      </c>
    </row>
    <row r="21" spans="11:21" ht="15.75" thickBot="1" x14ac:dyDescent="0.3">
      <c r="K21" s="14"/>
      <c r="L21" s="14"/>
      <c r="M21" s="24"/>
      <c r="N21" s="24"/>
      <c r="O21" s="15"/>
      <c r="Q21" s="64" t="s">
        <v>183</v>
      </c>
      <c r="R21" s="87">
        <f>R20-R16</f>
        <v>8922.4195906956447</v>
      </c>
      <c r="T21" s="64" t="s">
        <v>183</v>
      </c>
      <c r="U21" s="87">
        <f>U20-U16</f>
        <v>7156.8450736173218</v>
      </c>
    </row>
    <row r="22" spans="11:21" ht="15.75" thickBot="1" x14ac:dyDescent="0.3">
      <c r="K22" s="14"/>
      <c r="L22" s="14"/>
      <c r="M22" s="24"/>
      <c r="N22" s="24"/>
      <c r="O22" s="15"/>
    </row>
    <row r="23" spans="11:21" ht="15.75" thickBot="1" x14ac:dyDescent="0.3">
      <c r="K23" s="14"/>
      <c r="L23" s="14"/>
      <c r="M23" s="24"/>
      <c r="N23" s="24"/>
      <c r="O23" s="15"/>
      <c r="Q23" s="126" t="s">
        <v>181</v>
      </c>
      <c r="R23" s="127"/>
    </row>
    <row r="24" spans="11:21" x14ac:dyDescent="0.25">
      <c r="K24" s="14"/>
      <c r="L24" s="14"/>
      <c r="M24" s="24"/>
      <c r="N24" s="24"/>
      <c r="O24" s="15"/>
      <c r="Q24" s="77" t="s">
        <v>176</v>
      </c>
      <c r="R24" s="78">
        <v>15990</v>
      </c>
    </row>
    <row r="25" spans="11:21" x14ac:dyDescent="0.25">
      <c r="K25" s="14"/>
      <c r="L25" s="14"/>
      <c r="M25" s="24"/>
      <c r="N25" s="24"/>
      <c r="O25" s="15"/>
      <c r="Q25" s="62" t="s">
        <v>177</v>
      </c>
      <c r="R25" s="81">
        <v>120</v>
      </c>
    </row>
    <row r="26" spans="11:21" x14ac:dyDescent="0.25">
      <c r="K26" s="14"/>
      <c r="L26" s="14"/>
      <c r="M26" s="24"/>
      <c r="N26" s="24"/>
      <c r="O26" s="15"/>
      <c r="Q26" s="62" t="s">
        <v>179</v>
      </c>
      <c r="R26" s="86">
        <v>365.51</v>
      </c>
    </row>
    <row r="27" spans="11:21" ht="15.75" thickBot="1" x14ac:dyDescent="0.3">
      <c r="Q27" s="64" t="s">
        <v>178</v>
      </c>
      <c r="R27" s="80">
        <f>RATE(R25,R26,-R24)</f>
        <v>2.0962496904451372E-2</v>
      </c>
    </row>
    <row r="28" spans="11:21" x14ac:dyDescent="0.25">
      <c r="Q28" s="14"/>
    </row>
  </sheetData>
  <mergeCells count="3">
    <mergeCell ref="Q15:R15"/>
    <mergeCell ref="Q23:R23"/>
    <mergeCell ref="T15:U15"/>
  </mergeCells>
  <dataValidations count="3">
    <dataValidation type="list" allowBlank="1" showInputMessage="1" showErrorMessage="1" sqref="R17" xr:uid="{94FA75F0-7F14-495D-AF29-B5BFDFE422FE}">
      <formula1>"12,24,36,48,72"</formula1>
    </dataValidation>
    <dataValidation type="list" allowBlank="1" showInputMessage="1" showErrorMessage="1" sqref="R25" xr:uid="{242C1588-2F48-4766-B3E1-596F642C415A}">
      <formula1>"12,24,36,48,72,96,120"</formula1>
    </dataValidation>
    <dataValidation type="list" allowBlank="1" showInputMessage="1" showErrorMessage="1" sqref="U17" xr:uid="{F7239337-0891-4137-9D3C-22FD1416FC67}">
      <formula1>"12,24,36,48,60,72,96,120"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96492-E6E0-4807-9B37-F67E1F924A4F}">
  <sheetPr codeName="Planilha4"/>
  <dimension ref="A1:AA23"/>
  <sheetViews>
    <sheetView topLeftCell="F1" workbookViewId="0">
      <selection activeCell="G10" sqref="G10"/>
    </sheetView>
  </sheetViews>
  <sheetFormatPr defaultRowHeight="15" x14ac:dyDescent="0.25"/>
  <cols>
    <col min="1" max="1" width="7.42578125" bestFit="1" customWidth="1"/>
    <col min="2" max="3" width="14" customWidth="1"/>
    <col min="4" max="4" width="2" customWidth="1"/>
    <col min="5" max="5" width="7.42578125" bestFit="1" customWidth="1"/>
    <col min="6" max="6" width="24" bestFit="1" customWidth="1"/>
    <col min="8" max="8" width="2" customWidth="1"/>
    <col min="9" max="9" width="14.85546875" bestFit="1" customWidth="1"/>
    <col min="10" max="10" width="13.140625" bestFit="1" customWidth="1"/>
    <col min="11" max="11" width="13.28515625" bestFit="1" customWidth="1"/>
    <col min="12" max="12" width="12" bestFit="1" customWidth="1"/>
    <col min="13" max="13" width="11" bestFit="1" customWidth="1"/>
    <col min="14" max="14" width="2" customWidth="1"/>
    <col min="15" max="15" width="14.85546875" bestFit="1" customWidth="1"/>
    <col min="16" max="16" width="12.5703125" bestFit="1" customWidth="1"/>
    <col min="17" max="17" width="13.28515625" bestFit="1" customWidth="1"/>
    <col min="18" max="18" width="13.5703125" bestFit="1" customWidth="1"/>
    <col min="19" max="19" width="2" customWidth="1"/>
    <col min="20" max="20" width="7.42578125" bestFit="1" customWidth="1"/>
    <col min="21" max="21" width="9.85546875" bestFit="1" customWidth="1"/>
    <col min="22" max="22" width="14.7109375" bestFit="1" customWidth="1"/>
    <col min="23" max="23" width="18" bestFit="1" customWidth="1"/>
    <col min="24" max="24" width="1.7109375" customWidth="1"/>
    <col min="26" max="26" width="28.42578125" bestFit="1" customWidth="1"/>
    <col min="27" max="27" width="18.5703125" customWidth="1"/>
  </cols>
  <sheetData>
    <row r="1" spans="1:27" x14ac:dyDescent="0.25">
      <c r="A1" s="128" t="s">
        <v>195</v>
      </c>
      <c r="B1" s="128"/>
      <c r="C1" s="128"/>
      <c r="E1" s="128" t="s">
        <v>196</v>
      </c>
      <c r="F1" s="128"/>
      <c r="G1" s="128"/>
      <c r="I1" s="128" t="s">
        <v>197</v>
      </c>
      <c r="J1" s="128"/>
      <c r="K1" s="128"/>
      <c r="L1" s="128"/>
      <c r="M1" s="128"/>
      <c r="O1" s="128" t="s">
        <v>198</v>
      </c>
      <c r="P1" s="128"/>
      <c r="Q1" s="128"/>
      <c r="R1" s="128"/>
      <c r="T1" s="128" t="s">
        <v>199</v>
      </c>
      <c r="U1" s="128"/>
      <c r="V1" s="128"/>
      <c r="W1" s="128"/>
      <c r="Y1" s="128" t="s">
        <v>200</v>
      </c>
      <c r="Z1" s="128"/>
      <c r="AA1" s="128"/>
    </row>
    <row r="2" spans="1:27" x14ac:dyDescent="0.25">
      <c r="A2" s="11" t="s">
        <v>62</v>
      </c>
      <c r="B2" s="11" t="s">
        <v>63</v>
      </c>
      <c r="C2" s="11" t="s">
        <v>97</v>
      </c>
      <c r="E2" s="11" t="s">
        <v>62</v>
      </c>
      <c r="F2" s="11" t="s">
        <v>63</v>
      </c>
      <c r="G2" s="11" t="s">
        <v>91</v>
      </c>
      <c r="I2" s="11" t="s">
        <v>161</v>
      </c>
      <c r="J2" s="11" t="s">
        <v>135</v>
      </c>
      <c r="K2" s="11" t="s">
        <v>64</v>
      </c>
      <c r="L2" s="11" t="s">
        <v>88</v>
      </c>
      <c r="M2" s="11" t="s">
        <v>89</v>
      </c>
      <c r="O2" s="11" t="s">
        <v>161</v>
      </c>
      <c r="P2" s="11" t="s">
        <v>135</v>
      </c>
      <c r="Q2" s="11" t="s">
        <v>64</v>
      </c>
      <c r="R2" s="11" t="s">
        <v>65</v>
      </c>
      <c r="T2" s="11" t="s">
        <v>62</v>
      </c>
      <c r="U2" s="11" t="s">
        <v>102</v>
      </c>
      <c r="V2" s="11" t="s">
        <v>194</v>
      </c>
      <c r="W2" s="11" t="s">
        <v>213</v>
      </c>
      <c r="Y2" s="11" t="s">
        <v>62</v>
      </c>
      <c r="Z2" s="11" t="s">
        <v>201</v>
      </c>
      <c r="AA2" s="11" t="s">
        <v>202</v>
      </c>
    </row>
    <row r="3" spans="1:27" x14ac:dyDescent="0.25">
      <c r="A3">
        <v>1</v>
      </c>
      <c r="B3" t="s">
        <v>66</v>
      </c>
      <c r="C3">
        <v>30</v>
      </c>
      <c r="E3">
        <v>1</v>
      </c>
      <c r="F3" t="s">
        <v>92</v>
      </c>
      <c r="G3" s="25">
        <v>0.25</v>
      </c>
      <c r="I3" t="s">
        <v>168</v>
      </c>
      <c r="J3" t="s">
        <v>210</v>
      </c>
      <c r="K3" s="12">
        <v>585</v>
      </c>
      <c r="L3" s="45">
        <v>1.1339999999999999</v>
      </c>
      <c r="M3" s="45">
        <v>1.905</v>
      </c>
      <c r="O3" t="s">
        <v>216</v>
      </c>
      <c r="P3" t="s">
        <v>217</v>
      </c>
      <c r="Q3" s="13">
        <v>2.5</v>
      </c>
      <c r="R3" t="s">
        <v>67</v>
      </c>
      <c r="T3">
        <v>2025</v>
      </c>
      <c r="U3" s="60">
        <v>0.28499999999999998</v>
      </c>
      <c r="V3" s="25">
        <v>0.45</v>
      </c>
      <c r="W3" s="49">
        <f>Tabela_Taxação[[#This Row],[Fio B]]*Tabela_Taxação[[#This Row],[Perc. Fio B]]</f>
        <v>0.12825</v>
      </c>
      <c r="Y3">
        <v>1</v>
      </c>
      <c r="Z3" t="s">
        <v>203</v>
      </c>
      <c r="AA3">
        <v>66999380767</v>
      </c>
    </row>
    <row r="4" spans="1:27" x14ac:dyDescent="0.25">
      <c r="A4">
        <v>2</v>
      </c>
      <c r="B4" t="s">
        <v>67</v>
      </c>
      <c r="C4">
        <v>50</v>
      </c>
      <c r="E4">
        <v>2</v>
      </c>
      <c r="F4" t="s">
        <v>93</v>
      </c>
      <c r="G4" s="25">
        <v>0.7</v>
      </c>
      <c r="I4" t="s">
        <v>168</v>
      </c>
      <c r="J4" t="s">
        <v>169</v>
      </c>
      <c r="K4" s="12">
        <v>550</v>
      </c>
      <c r="L4" s="45">
        <v>1.1499999999999999</v>
      </c>
      <c r="M4" s="45">
        <v>2.29</v>
      </c>
      <c r="O4" t="s">
        <v>76</v>
      </c>
      <c r="P4" t="s">
        <v>136</v>
      </c>
      <c r="Q4" s="13">
        <v>6</v>
      </c>
      <c r="R4" t="s">
        <v>67</v>
      </c>
      <c r="T4">
        <v>2026</v>
      </c>
      <c r="U4" s="60">
        <v>0.28499999999999998</v>
      </c>
      <c r="V4" s="25">
        <v>0.6</v>
      </c>
      <c r="W4" s="49">
        <f>Tabela_Taxação[[#This Row],[Fio B]]*Tabela_Taxação[[#This Row],[Perc. Fio B]]</f>
        <v>0.17099999999999999</v>
      </c>
      <c r="Y4">
        <v>2</v>
      </c>
      <c r="Z4" t="s">
        <v>208</v>
      </c>
      <c r="AA4">
        <v>66997162761</v>
      </c>
    </row>
    <row r="5" spans="1:27" x14ac:dyDescent="0.25">
      <c r="A5">
        <v>3</v>
      </c>
      <c r="B5" t="s">
        <v>35</v>
      </c>
      <c r="C5">
        <v>100</v>
      </c>
      <c r="E5">
        <v>3</v>
      </c>
      <c r="F5" t="s">
        <v>94</v>
      </c>
      <c r="G5" s="25">
        <v>0</v>
      </c>
      <c r="I5" t="s">
        <v>170</v>
      </c>
      <c r="J5" t="s">
        <v>171</v>
      </c>
      <c r="K5" s="12">
        <v>550</v>
      </c>
      <c r="L5" s="45">
        <v>1.1339999999999999</v>
      </c>
      <c r="M5" s="45">
        <v>2.2749999999999999</v>
      </c>
      <c r="O5" t="s">
        <v>76</v>
      </c>
      <c r="P5" t="s">
        <v>137</v>
      </c>
      <c r="Q5" s="13">
        <v>8</v>
      </c>
      <c r="R5" t="s">
        <v>67</v>
      </c>
      <c r="T5">
        <v>2027</v>
      </c>
      <c r="U5" s="60">
        <v>0.28499999999999998</v>
      </c>
      <c r="V5" s="25">
        <v>0.75</v>
      </c>
      <c r="W5" s="49">
        <f>Tabela_Taxação[[#This Row],[Fio B]]*Tabela_Taxação[[#This Row],[Perc. Fio B]]</f>
        <v>0.21375</v>
      </c>
      <c r="Y5">
        <v>3</v>
      </c>
      <c r="Z5" t="s">
        <v>209</v>
      </c>
    </row>
    <row r="6" spans="1:27" x14ac:dyDescent="0.25">
      <c r="I6" t="s">
        <v>211</v>
      </c>
      <c r="J6" t="s">
        <v>212</v>
      </c>
      <c r="K6" s="12">
        <v>570</v>
      </c>
      <c r="L6" s="45">
        <v>1.1339999999999999</v>
      </c>
      <c r="M6" s="45">
        <v>2.2749999999999999</v>
      </c>
      <c r="O6" t="s">
        <v>76</v>
      </c>
      <c r="P6" t="s">
        <v>138</v>
      </c>
      <c r="Q6" s="13">
        <v>10</v>
      </c>
      <c r="R6" t="s">
        <v>67</v>
      </c>
      <c r="T6">
        <v>2028</v>
      </c>
      <c r="U6" s="60">
        <v>0.28499999999999998</v>
      </c>
      <c r="V6" s="25">
        <v>0.9</v>
      </c>
      <c r="W6" s="49">
        <f>Tabela_Taxação[[#This Row],[Fio B]]*Tabela_Taxação[[#This Row],[Perc. Fio B]]</f>
        <v>0.25650000000000001</v>
      </c>
    </row>
    <row r="7" spans="1:27" x14ac:dyDescent="0.25">
      <c r="I7" t="s">
        <v>215</v>
      </c>
      <c r="J7">
        <v>620</v>
      </c>
      <c r="K7" s="12">
        <v>620</v>
      </c>
      <c r="L7" s="45">
        <v>1.1599999999999999</v>
      </c>
      <c r="M7" s="45">
        <v>2.38</v>
      </c>
      <c r="O7" t="s">
        <v>76</v>
      </c>
      <c r="P7" t="s">
        <v>139</v>
      </c>
      <c r="Q7" s="13">
        <v>15</v>
      </c>
      <c r="R7" t="s">
        <v>35</v>
      </c>
      <c r="T7">
        <v>2029</v>
      </c>
      <c r="U7" s="60">
        <v>0.28499999999999998</v>
      </c>
      <c r="V7" s="25">
        <v>1</v>
      </c>
      <c r="W7" s="49">
        <f>Tabela_Taxação[[#This Row],[Fio B]]*Tabela_Taxação[[#This Row],[Perc. Fio B]]</f>
        <v>0.28499999999999998</v>
      </c>
    </row>
    <row r="8" spans="1:27" x14ac:dyDescent="0.25">
      <c r="I8" t="s">
        <v>214</v>
      </c>
      <c r="J8">
        <v>610</v>
      </c>
      <c r="K8" s="12">
        <v>610</v>
      </c>
      <c r="L8" s="45"/>
      <c r="M8" s="45"/>
      <c r="O8" t="s">
        <v>76</v>
      </c>
      <c r="P8" t="s">
        <v>140</v>
      </c>
      <c r="Q8" s="13">
        <v>20</v>
      </c>
      <c r="R8" t="s">
        <v>35</v>
      </c>
      <c r="T8">
        <v>2030</v>
      </c>
      <c r="U8" s="60">
        <v>0.28499999999999998</v>
      </c>
      <c r="V8" s="25">
        <v>1</v>
      </c>
      <c r="W8" s="49">
        <f>Tabela_Taxação[[#This Row],[Fio B]]*Tabela_Taxação[[#This Row],[Perc. Fio B]]</f>
        <v>0.28499999999999998</v>
      </c>
    </row>
    <row r="9" spans="1:27" x14ac:dyDescent="0.25">
      <c r="I9" t="s">
        <v>211</v>
      </c>
      <c r="J9">
        <v>590</v>
      </c>
      <c r="K9" s="12">
        <v>590</v>
      </c>
      <c r="L9">
        <v>1.1339999999999999</v>
      </c>
      <c r="M9">
        <v>2.2749999999999999</v>
      </c>
      <c r="O9" t="s">
        <v>76</v>
      </c>
      <c r="P9" t="s">
        <v>141</v>
      </c>
      <c r="Q9" s="13">
        <v>25</v>
      </c>
      <c r="R9" t="s">
        <v>35</v>
      </c>
      <c r="T9">
        <v>2031</v>
      </c>
      <c r="U9" s="60">
        <v>0.28499999999999998</v>
      </c>
      <c r="V9" s="25">
        <v>1</v>
      </c>
      <c r="W9" s="49">
        <f>Tabela_Taxação[[#This Row],[Fio B]]*Tabela_Taxação[[#This Row],[Perc. Fio B]]</f>
        <v>0.28499999999999998</v>
      </c>
    </row>
    <row r="10" spans="1:27" x14ac:dyDescent="0.25">
      <c r="O10" t="s">
        <v>76</v>
      </c>
      <c r="P10" t="s">
        <v>143</v>
      </c>
      <c r="Q10" s="13">
        <v>30</v>
      </c>
      <c r="R10" t="s">
        <v>35</v>
      </c>
      <c r="Z10" t="s">
        <v>204</v>
      </c>
    </row>
    <row r="11" spans="1:27" x14ac:dyDescent="0.25">
      <c r="O11" t="s">
        <v>76</v>
      </c>
      <c r="P11" t="s">
        <v>142</v>
      </c>
      <c r="Q11" s="13">
        <v>75</v>
      </c>
      <c r="R11" t="s">
        <v>35</v>
      </c>
      <c r="Z11" t="s">
        <v>205</v>
      </c>
    </row>
    <row r="12" spans="1:27" x14ac:dyDescent="0.25">
      <c r="O12" t="s">
        <v>144</v>
      </c>
      <c r="P12" t="s">
        <v>145</v>
      </c>
      <c r="Q12" s="13">
        <v>2</v>
      </c>
      <c r="R12" t="s">
        <v>67</v>
      </c>
      <c r="Z12" t="s">
        <v>206</v>
      </c>
    </row>
    <row r="13" spans="1:27" x14ac:dyDescent="0.25">
      <c r="O13" t="s">
        <v>144</v>
      </c>
      <c r="P13" t="s">
        <v>146</v>
      </c>
      <c r="Q13" s="13">
        <v>1</v>
      </c>
      <c r="R13" t="s">
        <v>67</v>
      </c>
    </row>
    <row r="14" spans="1:27" x14ac:dyDescent="0.25">
      <c r="O14" t="s">
        <v>144</v>
      </c>
      <c r="P14" t="s">
        <v>159</v>
      </c>
      <c r="Q14" s="13">
        <v>0.6</v>
      </c>
      <c r="R14" t="s">
        <v>66</v>
      </c>
    </row>
    <row r="15" spans="1:27" x14ac:dyDescent="0.25">
      <c r="O15" t="s">
        <v>147</v>
      </c>
      <c r="P15" t="s">
        <v>148</v>
      </c>
      <c r="Q15" s="13">
        <v>4</v>
      </c>
      <c r="R15" t="s">
        <v>67</v>
      </c>
    </row>
    <row r="16" spans="1:27" x14ac:dyDescent="0.25">
      <c r="O16" t="s">
        <v>147</v>
      </c>
      <c r="P16" t="s">
        <v>149</v>
      </c>
      <c r="Q16" s="13">
        <v>5</v>
      </c>
      <c r="R16" t="s">
        <v>67</v>
      </c>
    </row>
    <row r="17" spans="15:23" x14ac:dyDescent="0.25">
      <c r="O17" t="s">
        <v>147</v>
      </c>
      <c r="P17" t="s">
        <v>153</v>
      </c>
      <c r="Q17" s="13">
        <v>7</v>
      </c>
      <c r="R17" t="s">
        <v>67</v>
      </c>
    </row>
    <row r="18" spans="15:23" x14ac:dyDescent="0.25">
      <c r="O18" t="s">
        <v>147</v>
      </c>
      <c r="P18" t="s">
        <v>154</v>
      </c>
      <c r="Q18" s="13">
        <v>10</v>
      </c>
      <c r="R18" t="s">
        <v>67</v>
      </c>
      <c r="W18">
        <f>1.08*W3</f>
        <v>0.13851000000000002</v>
      </c>
    </row>
    <row r="19" spans="15:23" x14ac:dyDescent="0.25">
      <c r="O19" t="s">
        <v>150</v>
      </c>
      <c r="P19" t="s">
        <v>151</v>
      </c>
      <c r="Q19" s="13">
        <v>6</v>
      </c>
      <c r="R19" t="s">
        <v>67</v>
      </c>
    </row>
    <row r="20" spans="15:23" x14ac:dyDescent="0.25">
      <c r="O20" t="s">
        <v>150</v>
      </c>
      <c r="P20" t="s">
        <v>152</v>
      </c>
      <c r="Q20" s="13">
        <v>7.5</v>
      </c>
      <c r="R20" t="s">
        <v>67</v>
      </c>
    </row>
    <row r="21" spans="15:23" x14ac:dyDescent="0.25">
      <c r="O21" t="s">
        <v>155</v>
      </c>
      <c r="P21" t="s">
        <v>156</v>
      </c>
      <c r="Q21" s="13">
        <v>10</v>
      </c>
      <c r="R21" t="s">
        <v>35</v>
      </c>
    </row>
    <row r="22" spans="15:23" x14ac:dyDescent="0.25">
      <c r="O22" t="s">
        <v>155</v>
      </c>
      <c r="P22" t="s">
        <v>157</v>
      </c>
      <c r="Q22" s="13">
        <v>20</v>
      </c>
      <c r="R22" t="s">
        <v>35</v>
      </c>
    </row>
    <row r="23" spans="15:23" x14ac:dyDescent="0.25">
      <c r="O23" t="s">
        <v>155</v>
      </c>
      <c r="P23" t="s">
        <v>158</v>
      </c>
      <c r="Q23" s="13">
        <v>4</v>
      </c>
      <c r="R23" t="s">
        <v>67</v>
      </c>
    </row>
  </sheetData>
  <mergeCells count="6">
    <mergeCell ref="Y1:AA1"/>
    <mergeCell ref="A1:C1"/>
    <mergeCell ref="E1:G1"/>
    <mergeCell ref="I1:M1"/>
    <mergeCell ref="O1:R1"/>
    <mergeCell ref="T1:W1"/>
  </mergeCells>
  <phoneticPr fontId="2" type="noConversion"/>
  <dataValidations count="1">
    <dataValidation type="list" allowBlank="1" showInputMessage="1" showErrorMessage="1" sqref="R3:R23" xr:uid="{D39F63A5-9ADB-4520-8BE2-F6C5880561AD}">
      <formula1>$B$3:$B$5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7720-1C85-4EDB-8934-6B364E391778}">
  <sheetPr codeName="Planilha5"/>
  <dimension ref="A1:AO55"/>
  <sheetViews>
    <sheetView topLeftCell="H25" workbookViewId="0">
      <selection activeCell="U48" sqref="U48"/>
    </sheetView>
  </sheetViews>
  <sheetFormatPr defaultRowHeight="15" x14ac:dyDescent="0.25"/>
  <cols>
    <col min="2" max="15" width="10.5703125" bestFit="1" customWidth="1"/>
    <col min="16" max="19" width="10.5703125" customWidth="1"/>
    <col min="20" max="26" width="10.5703125" bestFit="1" customWidth="1"/>
    <col min="32" max="32" width="10.42578125" bestFit="1" customWidth="1"/>
  </cols>
  <sheetData>
    <row r="1" spans="1:41" x14ac:dyDescent="0.25">
      <c r="B1" t="s">
        <v>14</v>
      </c>
      <c r="C1" t="s">
        <v>14</v>
      </c>
      <c r="D1" t="s">
        <v>14</v>
      </c>
      <c r="E1" t="s">
        <v>14</v>
      </c>
      <c r="F1" t="s">
        <v>14</v>
      </c>
      <c r="G1" t="s">
        <v>15</v>
      </c>
      <c r="H1" t="s">
        <v>15</v>
      </c>
      <c r="I1" t="s">
        <v>15</v>
      </c>
      <c r="J1" t="s">
        <v>15</v>
      </c>
      <c r="K1" t="s">
        <v>15</v>
      </c>
      <c r="L1" t="s">
        <v>16</v>
      </c>
      <c r="M1" t="s">
        <v>16</v>
      </c>
      <c r="N1" t="s">
        <v>16</v>
      </c>
      <c r="O1" t="s">
        <v>16</v>
      </c>
      <c r="P1" t="s">
        <v>16</v>
      </c>
      <c r="Q1" t="s">
        <v>17</v>
      </c>
      <c r="R1" t="s">
        <v>17</v>
      </c>
      <c r="S1" t="s">
        <v>17</v>
      </c>
      <c r="T1" t="s">
        <v>17</v>
      </c>
      <c r="U1" t="s">
        <v>17</v>
      </c>
      <c r="V1" t="s">
        <v>18</v>
      </c>
      <c r="W1" t="s">
        <v>18</v>
      </c>
      <c r="X1" t="s">
        <v>18</v>
      </c>
      <c r="Y1" t="s">
        <v>18</v>
      </c>
      <c r="Z1" t="s">
        <v>18</v>
      </c>
      <c r="AA1" t="s">
        <v>19</v>
      </c>
      <c r="AB1" t="s">
        <v>19</v>
      </c>
      <c r="AC1" t="s">
        <v>19</v>
      </c>
      <c r="AD1" t="s">
        <v>19</v>
      </c>
      <c r="AE1" t="s">
        <v>19</v>
      </c>
      <c r="AF1" t="s">
        <v>20</v>
      </c>
      <c r="AG1" t="s">
        <v>20</v>
      </c>
      <c r="AH1" t="s">
        <v>20</v>
      </c>
      <c r="AI1" t="s">
        <v>20</v>
      </c>
      <c r="AJ1" t="s">
        <v>20</v>
      </c>
      <c r="AK1" t="s">
        <v>21</v>
      </c>
      <c r="AL1" t="s">
        <v>21</v>
      </c>
      <c r="AM1" t="s">
        <v>21</v>
      </c>
      <c r="AN1" t="s">
        <v>21</v>
      </c>
      <c r="AO1" t="s">
        <v>21</v>
      </c>
    </row>
    <row r="2" spans="1:41" x14ac:dyDescent="0.25">
      <c r="A2" t="s">
        <v>0</v>
      </c>
      <c r="B2">
        <v>5</v>
      </c>
      <c r="C2">
        <v>10</v>
      </c>
      <c r="D2">
        <v>15</v>
      </c>
      <c r="E2">
        <v>20</v>
      </c>
      <c r="F2">
        <v>25</v>
      </c>
      <c r="G2">
        <v>5</v>
      </c>
      <c r="H2">
        <v>10</v>
      </c>
      <c r="I2">
        <v>15</v>
      </c>
      <c r="J2">
        <v>20</v>
      </c>
      <c r="K2">
        <v>25</v>
      </c>
      <c r="L2">
        <v>5</v>
      </c>
      <c r="M2">
        <v>10</v>
      </c>
      <c r="N2">
        <v>15</v>
      </c>
      <c r="O2">
        <v>20</v>
      </c>
      <c r="P2">
        <v>25</v>
      </c>
      <c r="Q2">
        <v>5</v>
      </c>
      <c r="R2">
        <v>10</v>
      </c>
      <c r="S2">
        <v>15</v>
      </c>
      <c r="T2">
        <v>20</v>
      </c>
      <c r="U2">
        <v>25</v>
      </c>
      <c r="V2">
        <v>5</v>
      </c>
      <c r="W2">
        <v>10</v>
      </c>
      <c r="X2">
        <v>15</v>
      </c>
      <c r="Y2">
        <v>20</v>
      </c>
      <c r="Z2">
        <v>25</v>
      </c>
      <c r="AA2">
        <v>5</v>
      </c>
      <c r="AB2">
        <v>10</v>
      </c>
      <c r="AC2">
        <v>15</v>
      </c>
      <c r="AD2">
        <v>20</v>
      </c>
      <c r="AE2">
        <v>25</v>
      </c>
      <c r="AF2">
        <v>5</v>
      </c>
      <c r="AG2">
        <v>10</v>
      </c>
      <c r="AH2">
        <v>15</v>
      </c>
      <c r="AI2">
        <v>20</v>
      </c>
      <c r="AJ2">
        <v>25</v>
      </c>
      <c r="AK2">
        <v>5</v>
      </c>
      <c r="AL2">
        <v>10</v>
      </c>
      <c r="AM2">
        <v>15</v>
      </c>
      <c r="AN2">
        <v>20</v>
      </c>
      <c r="AO2">
        <v>25</v>
      </c>
    </row>
    <row r="3" spans="1:41" x14ac:dyDescent="0.25">
      <c r="A3" t="s">
        <v>1</v>
      </c>
      <c r="B3" s="1">
        <v>4.8994528619528612</v>
      </c>
      <c r="C3" s="1">
        <v>4.7780723905723903</v>
      </c>
      <c r="D3" s="1">
        <v>4.630976430976431</v>
      </c>
      <c r="E3" s="1">
        <v>4.4573653198653194</v>
      </c>
      <c r="F3" s="1">
        <v>4.2574915824915829</v>
      </c>
      <c r="G3" s="1">
        <v>4.9274831649831654</v>
      </c>
      <c r="H3" s="1">
        <v>4.8393518518518519</v>
      </c>
      <c r="I3" s="1">
        <v>4.7521885521885521</v>
      </c>
      <c r="J3" s="1">
        <v>4.6396043771043765</v>
      </c>
      <c r="K3" s="1">
        <v>4.4951178451178455</v>
      </c>
      <c r="L3" s="1">
        <v>4.9885521885521884</v>
      </c>
      <c r="M3" s="1">
        <v>4.9608164983164986</v>
      </c>
      <c r="N3" s="1">
        <v>4.9307239057239061</v>
      </c>
      <c r="O3" s="1">
        <v>4.8694444444444445</v>
      </c>
      <c r="P3" s="1">
        <v>4.7844696969696967</v>
      </c>
      <c r="Q3" s="1">
        <v>5.04760101010101</v>
      </c>
      <c r="R3" s="1">
        <v>5.0731902356902365</v>
      </c>
      <c r="S3" s="1">
        <v>5.0716329966329967</v>
      </c>
      <c r="T3" s="1">
        <v>5.0486952861952856</v>
      </c>
      <c r="U3" s="1">
        <v>5.0121632996633005</v>
      </c>
      <c r="V3" s="1">
        <v>5.0645202020202023</v>
      </c>
      <c r="W3" s="1">
        <v>5.1120370370370365</v>
      </c>
      <c r="X3" s="1">
        <v>5.1367424242424242</v>
      </c>
      <c r="Y3" s="1">
        <v>5.1381313131313133</v>
      </c>
      <c r="Z3" s="1">
        <v>5.1156986531986535</v>
      </c>
      <c r="AA3" s="1">
        <v>5.04760101010101</v>
      </c>
      <c r="AB3" s="1">
        <v>5.0731902356902365</v>
      </c>
      <c r="AC3" s="1">
        <v>5.0716329966329967</v>
      </c>
      <c r="AD3" s="1">
        <v>5.0486952861952856</v>
      </c>
      <c r="AE3" s="1">
        <v>5.0121632996633005</v>
      </c>
      <c r="AF3" s="1">
        <v>4.9885521885521884</v>
      </c>
      <c r="AG3" s="1">
        <v>4.9608164983164986</v>
      </c>
      <c r="AH3" s="1">
        <v>4.9307239057239061</v>
      </c>
      <c r="AI3" s="1">
        <v>4.8694444444444445</v>
      </c>
      <c r="AJ3" s="1">
        <v>4.7844696969696967</v>
      </c>
      <c r="AK3" s="1">
        <v>4.9274831649831654</v>
      </c>
      <c r="AL3" s="1">
        <v>4.8393518518518519</v>
      </c>
      <c r="AM3" s="1">
        <v>4.7521885521885521</v>
      </c>
      <c r="AN3" s="1">
        <v>4.6396043771043765</v>
      </c>
      <c r="AO3" s="1">
        <v>4.4951178451178455</v>
      </c>
    </row>
    <row r="4" spans="1:41" x14ac:dyDescent="0.25">
      <c r="A4" t="s">
        <v>2</v>
      </c>
      <c r="B4" s="1">
        <v>4.8689393939393932</v>
      </c>
      <c r="C4" s="1">
        <v>4.7945707070707071</v>
      </c>
      <c r="D4" s="1">
        <v>4.6954124579124583</v>
      </c>
      <c r="E4" s="1">
        <v>4.5700336700336699</v>
      </c>
      <c r="F4" s="1">
        <v>4.4190235690235689</v>
      </c>
      <c r="G4" s="1">
        <v>4.8778619528619531</v>
      </c>
      <c r="H4" s="1">
        <v>4.8134259259259267</v>
      </c>
      <c r="I4" s="1">
        <v>4.7495791245791246</v>
      </c>
      <c r="J4" s="1">
        <v>4.6638468013468017</v>
      </c>
      <c r="K4" s="1">
        <v>4.5480218855218855</v>
      </c>
      <c r="L4" s="1">
        <v>4.9029461279461284</v>
      </c>
      <c r="M4" s="1">
        <v>4.8699074074074069</v>
      </c>
      <c r="N4" s="1">
        <v>4.8360269360269363</v>
      </c>
      <c r="O4" s="1">
        <v>4.7709595959595958</v>
      </c>
      <c r="P4" s="1">
        <v>4.6850168350168353</v>
      </c>
      <c r="Q4" s="1">
        <v>4.9317340067340067</v>
      </c>
      <c r="R4" s="1">
        <v>4.9187289562289562</v>
      </c>
      <c r="S4" s="1">
        <v>4.8853535353535351</v>
      </c>
      <c r="T4" s="1">
        <v>4.8374579124579133</v>
      </c>
      <c r="U4" s="1">
        <v>4.7679713804713799</v>
      </c>
      <c r="V4" s="1">
        <v>4.9444444444444446</v>
      </c>
      <c r="W4" s="1">
        <v>4.9459175084175087</v>
      </c>
      <c r="X4" s="1">
        <v>4.9228535353535356</v>
      </c>
      <c r="Y4" s="1">
        <v>4.8747474747474753</v>
      </c>
      <c r="Z4" s="1">
        <v>4.8010942760942763</v>
      </c>
      <c r="AA4" s="1">
        <v>4.9317340067340067</v>
      </c>
      <c r="AB4" s="1">
        <v>4.9187289562289562</v>
      </c>
      <c r="AC4" s="1">
        <v>4.8853535353535351</v>
      </c>
      <c r="AD4" s="1">
        <v>4.8374579124579133</v>
      </c>
      <c r="AE4" s="1">
        <v>4.7679713804713799</v>
      </c>
      <c r="AF4" s="1">
        <v>4.9029461279461284</v>
      </c>
      <c r="AG4" s="1">
        <v>4.8699074074074069</v>
      </c>
      <c r="AH4" s="1">
        <v>4.8360269360269363</v>
      </c>
      <c r="AI4" s="1">
        <v>4.7709595959595958</v>
      </c>
      <c r="AJ4" s="1">
        <v>4.6850168350168353</v>
      </c>
      <c r="AK4" s="1">
        <v>4.8778619528619531</v>
      </c>
      <c r="AL4" s="1">
        <v>4.8134259259259267</v>
      </c>
      <c r="AM4" s="1">
        <v>4.7495791245791246</v>
      </c>
      <c r="AN4" s="1">
        <v>4.6638468013468017</v>
      </c>
      <c r="AO4" s="1">
        <v>4.5480218855218855</v>
      </c>
    </row>
    <row r="5" spans="1:41" x14ac:dyDescent="0.25">
      <c r="A5" t="s">
        <v>3</v>
      </c>
      <c r="B5" s="1">
        <v>5.086321548821549</v>
      </c>
      <c r="C5" s="1">
        <v>5.0925505050505055</v>
      </c>
      <c r="D5" s="1">
        <v>5.07516835016835</v>
      </c>
      <c r="E5" s="1">
        <v>5.034217171717172</v>
      </c>
      <c r="F5" s="1">
        <v>4.9697811447811446</v>
      </c>
      <c r="G5" s="1">
        <v>5.1018097643097651</v>
      </c>
      <c r="H5" s="1">
        <v>5.1239057239057244</v>
      </c>
      <c r="I5" s="1">
        <v>5.124200336700337</v>
      </c>
      <c r="J5" s="1">
        <v>5.0977693602693606</v>
      </c>
      <c r="K5" s="1">
        <v>5.0423400673400671</v>
      </c>
      <c r="L5" s="1">
        <v>5.083333333333333</v>
      </c>
      <c r="M5" s="1">
        <v>5.0893097643097649</v>
      </c>
      <c r="N5" s="1">
        <v>5.0658670033670035</v>
      </c>
      <c r="O5" s="1">
        <v>5.019318181818182</v>
      </c>
      <c r="P5" s="1">
        <v>4.9712962962962965</v>
      </c>
      <c r="Q5" s="1">
        <v>5.0422558922558922</v>
      </c>
      <c r="R5" s="1">
        <v>5.0039562289562296</v>
      </c>
      <c r="S5" s="1">
        <v>4.9428451178451187</v>
      </c>
      <c r="T5" s="1">
        <v>4.851936026936027</v>
      </c>
      <c r="U5" s="1">
        <v>4.7426346801346799</v>
      </c>
      <c r="V5" s="1">
        <v>5.000757575757576</v>
      </c>
      <c r="W5" s="1">
        <v>4.9195286195286201</v>
      </c>
      <c r="X5" s="1">
        <v>4.8123316498316502</v>
      </c>
      <c r="Y5" s="1">
        <v>4.6790824915824913</v>
      </c>
      <c r="Z5" s="1">
        <v>4.520075757575758</v>
      </c>
      <c r="AA5" s="1">
        <v>5.0422558922558922</v>
      </c>
      <c r="AB5" s="1">
        <v>5.0039562289562296</v>
      </c>
      <c r="AC5" s="1">
        <v>4.9428451178451187</v>
      </c>
      <c r="AD5" s="1">
        <v>4.851936026936027</v>
      </c>
      <c r="AE5" s="1">
        <v>4.7426346801346799</v>
      </c>
      <c r="AF5" s="1">
        <v>5.083333333333333</v>
      </c>
      <c r="AG5" s="1">
        <v>5.0893097643097649</v>
      </c>
      <c r="AH5" s="1">
        <v>5.0658670033670035</v>
      </c>
      <c r="AI5" s="1">
        <v>5.019318181818182</v>
      </c>
      <c r="AJ5" s="1">
        <v>4.9712962962962965</v>
      </c>
      <c r="AK5" s="1">
        <v>5.1018097643097651</v>
      </c>
      <c r="AL5" s="1">
        <v>5.1239057239057244</v>
      </c>
      <c r="AM5" s="1">
        <v>5.124200336700337</v>
      </c>
      <c r="AN5" s="1">
        <v>5.0977693602693606</v>
      </c>
      <c r="AO5" s="1">
        <v>5.0423400673400671</v>
      </c>
    </row>
    <row r="6" spans="1:41" x14ac:dyDescent="0.25">
      <c r="A6" t="s">
        <v>4</v>
      </c>
      <c r="B6" s="1">
        <v>5.3532407407407412</v>
      </c>
      <c r="C6" s="1">
        <v>5.4437289562289566</v>
      </c>
      <c r="D6" s="1">
        <v>5.5065235690235692</v>
      </c>
      <c r="E6" s="1">
        <v>5.5426346801346806</v>
      </c>
      <c r="F6" s="1">
        <v>5.5526515151515152</v>
      </c>
      <c r="G6" s="1">
        <v>5.3297979797979798</v>
      </c>
      <c r="H6" s="1">
        <v>5.3970538720538714</v>
      </c>
      <c r="I6" s="1">
        <v>5.4327020202020204</v>
      </c>
      <c r="J6" s="1">
        <v>5.4329966329966339</v>
      </c>
      <c r="K6" s="1">
        <v>5.4045033670033664</v>
      </c>
      <c r="L6" s="1">
        <v>5.2428872053872055</v>
      </c>
      <c r="M6" s="1">
        <v>5.217255892255892</v>
      </c>
      <c r="N6" s="1">
        <v>5.1553030303030312</v>
      </c>
      <c r="O6" s="1">
        <v>5.1029040404040407</v>
      </c>
      <c r="P6" s="1">
        <v>5.0292929292929296</v>
      </c>
      <c r="Q6" s="1">
        <v>5.1424242424242426</v>
      </c>
      <c r="R6" s="1">
        <v>5.0177188552188552</v>
      </c>
      <c r="S6" s="1">
        <v>4.8561026936026934</v>
      </c>
      <c r="T6" s="1">
        <v>4.6859006734006732</v>
      </c>
      <c r="U6" s="1">
        <v>4.5091329966329967</v>
      </c>
      <c r="V6" s="1">
        <v>5.08560606060606</v>
      </c>
      <c r="W6" s="1">
        <v>4.9054292929292931</v>
      </c>
      <c r="X6" s="1">
        <v>4.6931397306397304</v>
      </c>
      <c r="Y6" s="1">
        <v>4.4503787878787886</v>
      </c>
      <c r="Z6" s="1">
        <v>4.1788299663299666</v>
      </c>
      <c r="AA6" s="1">
        <v>5.1424242424242426</v>
      </c>
      <c r="AB6" s="1">
        <v>5.0177188552188552</v>
      </c>
      <c r="AC6" s="1">
        <v>4.8561026936026934</v>
      </c>
      <c r="AD6" s="1">
        <v>4.6859006734006732</v>
      </c>
      <c r="AE6" s="1">
        <v>4.5091329966329967</v>
      </c>
      <c r="AF6" s="1">
        <v>5.2428872053872055</v>
      </c>
      <c r="AG6" s="1">
        <v>5.217255892255892</v>
      </c>
      <c r="AH6" s="1">
        <v>5.1553030303030312</v>
      </c>
      <c r="AI6" s="1">
        <v>5.1029040404040407</v>
      </c>
      <c r="AJ6" s="1">
        <v>5.0292929292929296</v>
      </c>
      <c r="AK6" s="1">
        <v>5.3297979797979798</v>
      </c>
      <c r="AL6" s="1">
        <v>5.3970538720538714</v>
      </c>
      <c r="AM6" s="1">
        <v>5.4327020202020204</v>
      </c>
      <c r="AN6" s="1">
        <v>5.4329966329966339</v>
      </c>
      <c r="AO6" s="1">
        <v>5.4045033670033664</v>
      </c>
    </row>
    <row r="7" spans="1:41" x14ac:dyDescent="0.25">
      <c r="A7" t="s">
        <v>5</v>
      </c>
      <c r="B7" s="1">
        <v>5.4549663299663296</v>
      </c>
      <c r="C7" s="1">
        <v>5.6507996632996642</v>
      </c>
      <c r="D7" s="1">
        <v>5.8121212121212125</v>
      </c>
      <c r="E7" s="1">
        <v>5.9398569023569019</v>
      </c>
      <c r="F7" s="1">
        <v>6.0343434343434348</v>
      </c>
      <c r="G7" s="1">
        <v>5.3964225589225592</v>
      </c>
      <c r="H7" s="1">
        <v>5.5293771043771045</v>
      </c>
      <c r="I7" s="1">
        <v>5.624242424242424</v>
      </c>
      <c r="J7" s="1">
        <v>5.6868265993265998</v>
      </c>
      <c r="K7" s="1">
        <v>5.7168771043771045</v>
      </c>
      <c r="L7" s="1">
        <v>5.2262626262626259</v>
      </c>
      <c r="M7" s="1">
        <v>5.1823653198653199</v>
      </c>
      <c r="N7" s="1">
        <v>5.1319444444444438</v>
      </c>
      <c r="O7" s="1">
        <v>5.0786195286195293</v>
      </c>
      <c r="P7" s="1">
        <v>4.9878367003367003</v>
      </c>
      <c r="Q7" s="1">
        <v>5.0473063973063974</v>
      </c>
      <c r="R7" s="1">
        <v>4.8292929292929294</v>
      </c>
      <c r="S7" s="1">
        <v>4.6055555555555552</v>
      </c>
      <c r="T7" s="1">
        <v>4.3799242424242433</v>
      </c>
      <c r="U7" s="1">
        <v>4.1155303030303036</v>
      </c>
      <c r="V7" s="1">
        <v>4.9595538720538723</v>
      </c>
      <c r="W7" s="1">
        <v>4.6632575757575756</v>
      </c>
      <c r="X7" s="1">
        <v>4.3359848484848484</v>
      </c>
      <c r="Y7" s="1">
        <v>3.9863636363636363</v>
      </c>
      <c r="Z7" s="1">
        <v>3.6232323232323234</v>
      </c>
      <c r="AA7" s="1">
        <v>5.0473063973063974</v>
      </c>
      <c r="AB7" s="1">
        <v>4.8292929292929294</v>
      </c>
      <c r="AC7" s="1">
        <v>4.6055555555555552</v>
      </c>
      <c r="AD7" s="1">
        <v>4.3799242424242433</v>
      </c>
      <c r="AE7" s="1">
        <v>4.1155303030303036</v>
      </c>
      <c r="AF7" s="1">
        <v>5.2262626262626259</v>
      </c>
      <c r="AG7" s="1">
        <v>5.1823653198653199</v>
      </c>
      <c r="AH7" s="1">
        <v>5.1319444444444438</v>
      </c>
      <c r="AI7" s="1">
        <v>5.0786195286195293</v>
      </c>
      <c r="AJ7" s="1">
        <v>4.9878367003367003</v>
      </c>
      <c r="AK7" s="1">
        <v>5.3964225589225592</v>
      </c>
      <c r="AL7" s="1">
        <v>5.5293771043771045</v>
      </c>
      <c r="AM7" s="1">
        <v>5.624242424242424</v>
      </c>
      <c r="AN7" s="1">
        <v>5.6868265993265998</v>
      </c>
      <c r="AO7" s="1">
        <v>5.7168771043771045</v>
      </c>
    </row>
    <row r="8" spans="1:41" x14ac:dyDescent="0.25">
      <c r="A8" t="s">
        <v>6</v>
      </c>
      <c r="B8" s="1">
        <v>4.6003367003367002</v>
      </c>
      <c r="C8" s="1">
        <v>4.7910353535353529</v>
      </c>
      <c r="D8" s="1">
        <v>4.9532828282828287</v>
      </c>
      <c r="E8" s="1">
        <v>5.0867003367003365</v>
      </c>
      <c r="F8" s="1">
        <v>5.1907828282828277</v>
      </c>
      <c r="G8" s="1">
        <v>4.5184764309764311</v>
      </c>
      <c r="H8" s="1">
        <v>4.6274410774410777</v>
      </c>
      <c r="I8" s="1">
        <v>4.7052609427609431</v>
      </c>
      <c r="J8" s="1">
        <v>4.7558501683501682</v>
      </c>
      <c r="K8" s="1">
        <v>4.7796296296296301</v>
      </c>
      <c r="L8" s="1">
        <v>4.3442760942760943</v>
      </c>
      <c r="M8" s="1">
        <v>4.2747895622895626</v>
      </c>
      <c r="N8" s="1">
        <v>4.2071127946127946</v>
      </c>
      <c r="O8" s="1">
        <v>4.1351430976430974</v>
      </c>
      <c r="P8" s="1">
        <v>4.0304713804713801</v>
      </c>
      <c r="Q8" s="1">
        <v>4.1839225589225588</v>
      </c>
      <c r="R8" s="1">
        <v>3.9558501683501683</v>
      </c>
      <c r="S8" s="1">
        <v>3.7395202020202021</v>
      </c>
      <c r="T8" s="1">
        <v>3.5105218855218858</v>
      </c>
      <c r="U8" s="1">
        <v>3.2543771043771046</v>
      </c>
      <c r="V8" s="1">
        <v>4.1330387205387202</v>
      </c>
      <c r="W8" s="1">
        <v>3.8564393939393939</v>
      </c>
      <c r="X8" s="1">
        <v>3.556523569023569</v>
      </c>
      <c r="Y8" s="1">
        <v>3.2390993265993266</v>
      </c>
      <c r="Z8" s="1">
        <v>2.9108585858585858</v>
      </c>
      <c r="AA8" s="1">
        <v>4.1839225589225588</v>
      </c>
      <c r="AB8" s="1">
        <v>3.9558501683501683</v>
      </c>
      <c r="AC8" s="1">
        <v>3.7395202020202021</v>
      </c>
      <c r="AD8" s="1">
        <v>3.5105218855218858</v>
      </c>
      <c r="AE8" s="1">
        <v>3.2543771043771046</v>
      </c>
      <c r="AF8" s="1">
        <v>4.3442760942760943</v>
      </c>
      <c r="AG8" s="1">
        <v>4.2747895622895626</v>
      </c>
      <c r="AH8" s="1">
        <v>4.2071127946127946</v>
      </c>
      <c r="AI8" s="1">
        <v>4.1351430976430974</v>
      </c>
      <c r="AJ8" s="1">
        <v>4.0304713804713801</v>
      </c>
      <c r="AK8" s="1">
        <v>4.5184764309764311</v>
      </c>
      <c r="AL8" s="1">
        <v>4.6274410774410777</v>
      </c>
      <c r="AM8" s="1">
        <v>4.7052609427609431</v>
      </c>
      <c r="AN8" s="1">
        <v>4.7558501683501682</v>
      </c>
      <c r="AO8" s="1">
        <v>4.7796296296296301</v>
      </c>
    </row>
    <row r="9" spans="1:41" x14ac:dyDescent="0.25">
      <c r="A9" t="s">
        <v>7</v>
      </c>
      <c r="B9" s="1">
        <v>5.6037457912457915</v>
      </c>
      <c r="C9" s="1">
        <v>5.8463383838383836</v>
      </c>
      <c r="D9" s="1">
        <v>6.0517255892255895</v>
      </c>
      <c r="E9" s="1">
        <v>6.2191498316498324</v>
      </c>
      <c r="F9" s="1">
        <v>6.3489057239057241</v>
      </c>
      <c r="G9" s="1">
        <v>5.5120791245791247</v>
      </c>
      <c r="H9" s="1">
        <v>5.662205387205387</v>
      </c>
      <c r="I9" s="1">
        <v>5.7741582491582495</v>
      </c>
      <c r="J9" s="1">
        <v>5.8433922558922564</v>
      </c>
      <c r="K9" s="1">
        <v>5.8774831649831656</v>
      </c>
      <c r="L9" s="1">
        <v>5.2992003367003369</v>
      </c>
      <c r="M9" s="1">
        <v>5.2250000000000005</v>
      </c>
      <c r="N9" s="1">
        <v>5.129503367003367</v>
      </c>
      <c r="O9" s="1">
        <v>5.0495791245791244</v>
      </c>
      <c r="P9" s="1">
        <v>4.9303451178451185</v>
      </c>
      <c r="Q9" s="1">
        <v>5.0906986531986531</v>
      </c>
      <c r="R9" s="1">
        <v>4.8079966329966339</v>
      </c>
      <c r="S9" s="1">
        <v>4.5143518518518517</v>
      </c>
      <c r="T9" s="1">
        <v>4.2324915824915825</v>
      </c>
      <c r="U9" s="1">
        <v>3.9044612794612799</v>
      </c>
      <c r="V9" s="1">
        <v>5.0091329966329967</v>
      </c>
      <c r="W9" s="1">
        <v>4.658459595959596</v>
      </c>
      <c r="X9" s="1">
        <v>4.2724747474747478</v>
      </c>
      <c r="Y9" s="1">
        <v>3.8543350168350168</v>
      </c>
      <c r="Z9" s="1">
        <v>3.4098063973063972</v>
      </c>
      <c r="AA9" s="1">
        <v>5.0906986531986531</v>
      </c>
      <c r="AB9" s="1">
        <v>4.8079966329966339</v>
      </c>
      <c r="AC9" s="1">
        <v>4.5143518518518517</v>
      </c>
      <c r="AD9" s="1">
        <v>4.2324915824915825</v>
      </c>
      <c r="AE9" s="1">
        <v>3.9044612794612799</v>
      </c>
      <c r="AF9" s="1">
        <v>5.2992003367003369</v>
      </c>
      <c r="AG9" s="1">
        <v>5.2250000000000005</v>
      </c>
      <c r="AH9" s="1">
        <v>5.129503367003367</v>
      </c>
      <c r="AI9" s="1">
        <v>5.0495791245791244</v>
      </c>
      <c r="AJ9" s="1">
        <v>4.9303451178451185</v>
      </c>
      <c r="AK9" s="1">
        <v>5.5120791245791247</v>
      </c>
      <c r="AL9" s="1">
        <v>5.662205387205387</v>
      </c>
      <c r="AM9" s="1">
        <v>5.7741582491582495</v>
      </c>
      <c r="AN9" s="1">
        <v>5.8433922558922564</v>
      </c>
      <c r="AO9" s="1">
        <v>5.8774831649831656</v>
      </c>
    </row>
    <row r="10" spans="1:41" x14ac:dyDescent="0.25">
      <c r="A10" t="s">
        <v>8</v>
      </c>
      <c r="B10" s="1">
        <v>4.9491161616161623</v>
      </c>
      <c r="C10" s="1">
        <v>5.0698232323232322</v>
      </c>
      <c r="D10" s="1">
        <v>5.1626683501683504</v>
      </c>
      <c r="E10" s="1">
        <v>5.2273569023569024</v>
      </c>
      <c r="F10" s="1">
        <v>5.2639309764309763</v>
      </c>
      <c r="G10" s="1">
        <v>4.9132575757575765</v>
      </c>
      <c r="H10" s="1">
        <v>4.9951178451178446</v>
      </c>
      <c r="I10" s="1">
        <v>5.0473063973063974</v>
      </c>
      <c r="J10" s="1">
        <v>5.066245791245791</v>
      </c>
      <c r="K10" s="1">
        <v>5.0574074074074078</v>
      </c>
      <c r="L10" s="1">
        <v>4.8030303030303036</v>
      </c>
      <c r="M10" s="1">
        <v>4.7690235690235685</v>
      </c>
      <c r="N10" s="1">
        <v>4.7032828282828287</v>
      </c>
      <c r="O10" s="1">
        <v>4.6465067340067341</v>
      </c>
      <c r="P10" s="1">
        <v>4.5672558922558926</v>
      </c>
      <c r="Q10" s="1">
        <v>4.6843013468013472</v>
      </c>
      <c r="R10" s="1">
        <v>4.5348063973063972</v>
      </c>
      <c r="S10" s="1">
        <v>4.3543350168350168</v>
      </c>
      <c r="T10" s="1">
        <v>4.177104377104377</v>
      </c>
      <c r="U10" s="1">
        <v>3.9838383838383837</v>
      </c>
      <c r="V10" s="1">
        <v>4.6247474747474744</v>
      </c>
      <c r="W10" s="1">
        <v>4.4221801346801346</v>
      </c>
      <c r="X10" s="1">
        <v>4.1943602693602697</v>
      </c>
      <c r="Y10" s="1">
        <v>3.9414983164983166</v>
      </c>
      <c r="Z10" s="1">
        <v>3.6652356902356904</v>
      </c>
      <c r="AA10" s="1">
        <v>4.6843013468013472</v>
      </c>
      <c r="AB10" s="1">
        <v>4.5348063973063972</v>
      </c>
      <c r="AC10" s="1">
        <v>4.3543350168350168</v>
      </c>
      <c r="AD10" s="1">
        <v>4.177104377104377</v>
      </c>
      <c r="AE10" s="1">
        <v>3.9838383838383837</v>
      </c>
      <c r="AF10" s="1">
        <v>4.8030303030303036</v>
      </c>
      <c r="AG10" s="1">
        <v>4.7690235690235685</v>
      </c>
      <c r="AH10" s="1">
        <v>4.7032828282828287</v>
      </c>
      <c r="AI10" s="1">
        <v>4.6465067340067341</v>
      </c>
      <c r="AJ10" s="1">
        <v>4.5672558922558926</v>
      </c>
      <c r="AK10" s="1">
        <v>4.9132575757575765</v>
      </c>
      <c r="AL10" s="1">
        <v>4.9951178451178446</v>
      </c>
      <c r="AM10" s="1">
        <v>5.0473063973063974</v>
      </c>
      <c r="AN10" s="1">
        <v>5.066245791245791</v>
      </c>
      <c r="AO10" s="1">
        <v>5.0574074074074078</v>
      </c>
    </row>
    <row r="11" spans="1:41" x14ac:dyDescent="0.25">
      <c r="A11" t="s">
        <v>9</v>
      </c>
      <c r="B11" s="1">
        <v>4.5620370370370376</v>
      </c>
      <c r="C11" s="1">
        <v>4.5889730639730635</v>
      </c>
      <c r="D11" s="1">
        <v>4.5933080808080806</v>
      </c>
      <c r="E11" s="1">
        <v>4.5750841750841751</v>
      </c>
      <c r="F11" s="1">
        <v>4.5344696969696976</v>
      </c>
      <c r="G11" s="1">
        <v>4.5586279461279471</v>
      </c>
      <c r="H11" s="1">
        <v>4.580387205387205</v>
      </c>
      <c r="I11" s="1">
        <v>4.5772306397306393</v>
      </c>
      <c r="J11" s="1">
        <v>4.5478114478114477</v>
      </c>
      <c r="K11" s="1">
        <v>4.5008838383838388</v>
      </c>
      <c r="L11" s="1">
        <v>4.5213383838383843</v>
      </c>
      <c r="M11" s="1">
        <v>4.5027356902356903</v>
      </c>
      <c r="N11" s="1">
        <v>4.4565656565656573</v>
      </c>
      <c r="O11" s="1">
        <v>4.4144781144781149</v>
      </c>
      <c r="P11" s="1">
        <v>4.3537037037037036</v>
      </c>
      <c r="Q11" s="1">
        <v>4.4729377104377104</v>
      </c>
      <c r="R11" s="1">
        <v>4.4090488215488213</v>
      </c>
      <c r="S11" s="1">
        <v>4.3168350168350171</v>
      </c>
      <c r="T11" s="1">
        <v>4.2064814814814815</v>
      </c>
      <c r="U11" s="1">
        <v>4.095917508417509</v>
      </c>
      <c r="V11" s="1">
        <v>4.4400252525252526</v>
      </c>
      <c r="W11" s="1">
        <v>4.345117845117846</v>
      </c>
      <c r="X11" s="1">
        <v>4.2280303030303035</v>
      </c>
      <c r="Y11" s="1">
        <v>4.0887626262626267</v>
      </c>
      <c r="Z11" s="1">
        <v>3.9271885521885523</v>
      </c>
      <c r="AA11" s="1">
        <v>4.4729377104377104</v>
      </c>
      <c r="AB11" s="1">
        <v>4.4090488215488213</v>
      </c>
      <c r="AC11" s="1">
        <v>4.3168350168350171</v>
      </c>
      <c r="AD11" s="1">
        <v>4.2064814814814815</v>
      </c>
      <c r="AE11" s="1">
        <v>4.095917508417509</v>
      </c>
      <c r="AF11" s="1">
        <v>4.5213383838383843</v>
      </c>
      <c r="AG11" s="1">
        <v>4.5027356902356903</v>
      </c>
      <c r="AH11" s="1">
        <v>4.4565656565656573</v>
      </c>
      <c r="AI11" s="1">
        <v>4.4144781144781149</v>
      </c>
      <c r="AJ11" s="1">
        <v>4.3537037037037036</v>
      </c>
      <c r="AK11" s="1">
        <v>4.5586279461279471</v>
      </c>
      <c r="AL11" s="1">
        <v>4.580387205387205</v>
      </c>
      <c r="AM11" s="1">
        <v>4.5772306397306393</v>
      </c>
      <c r="AN11" s="1">
        <v>4.5478114478114477</v>
      </c>
      <c r="AO11" s="1">
        <v>4.5008838383838388</v>
      </c>
    </row>
    <row r="12" spans="1:41" x14ac:dyDescent="0.25">
      <c r="A12" t="s">
        <v>10</v>
      </c>
      <c r="B12" s="1">
        <v>5.4420875420875419</v>
      </c>
      <c r="C12" s="1">
        <v>5.4021464646464645</v>
      </c>
      <c r="D12" s="1">
        <v>5.3357744107744107</v>
      </c>
      <c r="E12" s="1">
        <v>5.2430134680134683</v>
      </c>
      <c r="F12" s="1">
        <v>5.1236952861952867</v>
      </c>
      <c r="G12" s="1">
        <v>5.4416245791245794</v>
      </c>
      <c r="H12" s="1">
        <v>5.3990740740740737</v>
      </c>
      <c r="I12" s="1">
        <v>5.3229377104377109</v>
      </c>
      <c r="J12" s="1">
        <v>5.2198653198653204</v>
      </c>
      <c r="K12" s="1">
        <v>5.1177188552188557</v>
      </c>
      <c r="L12" s="1">
        <v>5.4410353535353533</v>
      </c>
      <c r="M12" s="1">
        <v>5.3947811447811445</v>
      </c>
      <c r="N12" s="1">
        <v>5.309553872053872</v>
      </c>
      <c r="O12" s="1">
        <v>5.2305555555555552</v>
      </c>
      <c r="P12" s="1">
        <v>5.1319444444444438</v>
      </c>
      <c r="Q12" s="1">
        <v>5.4418350168350171</v>
      </c>
      <c r="R12" s="1">
        <v>5.3997053872053877</v>
      </c>
      <c r="S12" s="1">
        <v>5.3281986531986538</v>
      </c>
      <c r="T12" s="1">
        <v>5.222474747474747</v>
      </c>
      <c r="U12" s="1">
        <v>5.0969276094276097</v>
      </c>
      <c r="V12" s="1">
        <v>5.4423821548821545</v>
      </c>
      <c r="W12" s="1">
        <v>5.4022727272727273</v>
      </c>
      <c r="X12" s="1">
        <v>5.3350168350168348</v>
      </c>
      <c r="Y12" s="1">
        <v>5.24040404040404</v>
      </c>
      <c r="Z12" s="1">
        <v>5.1185606060606066</v>
      </c>
      <c r="AA12" s="1">
        <v>5.4418350168350171</v>
      </c>
      <c r="AB12" s="1">
        <v>5.3997053872053877</v>
      </c>
      <c r="AC12" s="1">
        <v>5.3281986531986538</v>
      </c>
      <c r="AD12" s="1">
        <v>5.222474747474747</v>
      </c>
      <c r="AE12" s="1">
        <v>5.0969276094276097</v>
      </c>
      <c r="AF12" s="1">
        <v>5.4410353535353533</v>
      </c>
      <c r="AG12" s="1">
        <v>5.3947811447811445</v>
      </c>
      <c r="AH12" s="1">
        <v>5.309553872053872</v>
      </c>
      <c r="AI12" s="1">
        <v>5.2305555555555552</v>
      </c>
      <c r="AJ12" s="1">
        <v>5.1319444444444438</v>
      </c>
      <c r="AK12" s="1">
        <v>5.4416245791245794</v>
      </c>
      <c r="AL12" s="1">
        <v>5.3990740740740737</v>
      </c>
      <c r="AM12" s="1">
        <v>5.3229377104377109</v>
      </c>
      <c r="AN12" s="1">
        <v>5.2198653198653204</v>
      </c>
      <c r="AO12" s="1">
        <v>5.1177188552188557</v>
      </c>
    </row>
    <row r="13" spans="1:41" x14ac:dyDescent="0.25">
      <c r="A13" t="s">
        <v>11</v>
      </c>
      <c r="B13" s="1">
        <v>4.9105218855218853</v>
      </c>
      <c r="C13" s="1">
        <v>4.8180555555555555</v>
      </c>
      <c r="D13" s="1">
        <v>4.7015572390572391</v>
      </c>
      <c r="E13" s="1">
        <v>4.5614057239057235</v>
      </c>
      <c r="F13" s="1">
        <v>4.3970959595959593</v>
      </c>
      <c r="G13" s="1">
        <v>4.9533249158249166</v>
      </c>
      <c r="H13" s="1">
        <v>4.903240740740741</v>
      </c>
      <c r="I13" s="1">
        <v>4.8250841750841751</v>
      </c>
      <c r="J13" s="1">
        <v>4.7221380471380474</v>
      </c>
      <c r="K13" s="1">
        <v>4.6182659932659931</v>
      </c>
      <c r="L13" s="1">
        <v>5.0033670033670035</v>
      </c>
      <c r="M13" s="1">
        <v>5.0004629629629624</v>
      </c>
      <c r="N13" s="1">
        <v>4.9660774410774415</v>
      </c>
      <c r="O13" s="1">
        <v>4.9158249158249161</v>
      </c>
      <c r="P13" s="1">
        <v>4.8581649831649827</v>
      </c>
      <c r="Q13" s="1">
        <v>5.0336700336700337</v>
      </c>
      <c r="R13" s="1">
        <v>5.0618686868686869</v>
      </c>
      <c r="S13" s="1">
        <v>5.0653198653198652</v>
      </c>
      <c r="T13" s="1">
        <v>5.0436868686868692</v>
      </c>
      <c r="U13" s="1">
        <v>4.9955387205387209</v>
      </c>
      <c r="V13" s="1">
        <v>5.0263468013468016</v>
      </c>
      <c r="W13" s="1">
        <v>5.0496212121212123</v>
      </c>
      <c r="X13" s="1">
        <v>5.0500841750841756</v>
      </c>
      <c r="Y13" s="1">
        <v>5.0276936026936028</v>
      </c>
      <c r="Z13" s="1">
        <v>4.9820286195286201</v>
      </c>
      <c r="AA13" s="1">
        <v>5.0336700336700337</v>
      </c>
      <c r="AB13" s="1">
        <v>5.0618686868686869</v>
      </c>
      <c r="AC13" s="1">
        <v>5.0653198653198652</v>
      </c>
      <c r="AD13" s="1">
        <v>5.0436868686868692</v>
      </c>
      <c r="AE13" s="1">
        <v>4.9955387205387209</v>
      </c>
      <c r="AF13" s="1">
        <v>5.0033670033670035</v>
      </c>
      <c r="AG13" s="1">
        <v>5.0004629629629624</v>
      </c>
      <c r="AH13" s="1">
        <v>4.9660774410774415</v>
      </c>
      <c r="AI13" s="1">
        <v>4.9158249158249161</v>
      </c>
      <c r="AJ13" s="1">
        <v>4.8581649831649827</v>
      </c>
      <c r="AK13" s="1">
        <v>4.9533249158249166</v>
      </c>
      <c r="AL13" s="1">
        <v>4.903240740740741</v>
      </c>
      <c r="AM13" s="1">
        <v>4.8250841750841751</v>
      </c>
      <c r="AN13" s="1">
        <v>4.7221380471380474</v>
      </c>
      <c r="AO13" s="1">
        <v>4.6182659932659931</v>
      </c>
    </row>
    <row r="14" spans="1:41" x14ac:dyDescent="0.25">
      <c r="A14" t="s">
        <v>12</v>
      </c>
      <c r="B14" s="1">
        <v>5.3416245791245798</v>
      </c>
      <c r="C14" s="1">
        <v>5.201599326599327</v>
      </c>
      <c r="D14" s="1">
        <v>5.0348905723905721</v>
      </c>
      <c r="E14" s="1">
        <v>4.8442760942760943</v>
      </c>
      <c r="F14" s="1">
        <v>4.6290824915824915</v>
      </c>
      <c r="G14" s="1">
        <v>5.3745370370370376</v>
      </c>
      <c r="H14" s="1">
        <v>5.2736952861952862</v>
      </c>
      <c r="I14" s="1">
        <v>5.1499158249158246</v>
      </c>
      <c r="J14" s="1">
        <v>4.9926767676767678</v>
      </c>
      <c r="K14" s="1">
        <v>4.8360690235690234</v>
      </c>
      <c r="L14" s="1">
        <v>5.4462542087542092</v>
      </c>
      <c r="M14" s="1">
        <v>5.4153619528619537</v>
      </c>
      <c r="N14" s="1">
        <v>5.3582491582491576</v>
      </c>
      <c r="O14" s="1">
        <v>5.2673821548821547</v>
      </c>
      <c r="P14" s="1">
        <v>5.1795033670033677</v>
      </c>
      <c r="Q14" s="1">
        <v>5.5159090909090907</v>
      </c>
      <c r="R14" s="1">
        <v>5.5476851851851858</v>
      </c>
      <c r="S14" s="1">
        <v>5.5507154882154879</v>
      </c>
      <c r="T14" s="1">
        <v>5.5289562289562291</v>
      </c>
      <c r="U14" s="1">
        <v>5.4812289562289562</v>
      </c>
      <c r="V14" s="1">
        <v>5.5419191919191917</v>
      </c>
      <c r="W14" s="1">
        <v>5.6013468013468017</v>
      </c>
      <c r="X14" s="1">
        <v>5.6339646464646469</v>
      </c>
      <c r="Y14" s="1">
        <v>5.6397727272727272</v>
      </c>
      <c r="Z14" s="1">
        <v>5.6182239057239061</v>
      </c>
      <c r="AA14" s="1">
        <v>5.5159090909090907</v>
      </c>
      <c r="AB14" s="1">
        <v>5.5476851851851858</v>
      </c>
      <c r="AC14" s="1">
        <v>5.5507154882154879</v>
      </c>
      <c r="AD14" s="1">
        <v>5.5289562289562291</v>
      </c>
      <c r="AE14" s="1">
        <v>5.4812289562289562</v>
      </c>
      <c r="AF14" s="1">
        <v>5.4462542087542092</v>
      </c>
      <c r="AG14" s="1">
        <v>5.4153619528619537</v>
      </c>
      <c r="AH14" s="1">
        <v>5.3582491582491576</v>
      </c>
      <c r="AI14" s="1">
        <v>5.2673821548821547</v>
      </c>
      <c r="AJ14" s="1">
        <v>5.1795033670033677</v>
      </c>
      <c r="AK14" s="1">
        <v>5.3745370370370376</v>
      </c>
      <c r="AL14" s="1">
        <v>5.2736952861952862</v>
      </c>
      <c r="AM14" s="1">
        <v>5.1499158249158246</v>
      </c>
      <c r="AN14" s="1">
        <v>4.9926767676767678</v>
      </c>
      <c r="AO14" s="1">
        <v>4.8360690235690234</v>
      </c>
    </row>
    <row r="15" spans="1:41" x14ac:dyDescent="0.25">
      <c r="A15" t="s">
        <v>90</v>
      </c>
      <c r="B15" s="1">
        <v>61.072432659932659</v>
      </c>
      <c r="C15" s="1">
        <v>61.477693602693606</v>
      </c>
      <c r="D15" s="1">
        <v>61.553324915824916</v>
      </c>
      <c r="E15" s="1">
        <v>61.301094276094275</v>
      </c>
      <c r="F15" s="1">
        <v>60.721212121212126</v>
      </c>
      <c r="G15" s="1">
        <v>60.905303030303031</v>
      </c>
      <c r="H15" s="1">
        <v>61.144276094276094</v>
      </c>
      <c r="I15" s="1">
        <v>61.084848484848486</v>
      </c>
      <c r="J15" s="1">
        <v>60.669023569023565</v>
      </c>
      <c r="K15" s="1">
        <v>59.99431818181818</v>
      </c>
      <c r="L15" s="1">
        <v>60.302441077441081</v>
      </c>
      <c r="M15" s="1">
        <v>59.901809764309768</v>
      </c>
      <c r="N15" s="1">
        <v>59.250168350168352</v>
      </c>
      <c r="O15" s="1">
        <v>58.500673400673406</v>
      </c>
      <c r="P15" s="1">
        <v>57.509259259259267</v>
      </c>
      <c r="Q15" s="1">
        <v>59.634595959595963</v>
      </c>
      <c r="R15" s="1">
        <v>58.559890572390572</v>
      </c>
      <c r="S15" s="1">
        <v>57.230765993265997</v>
      </c>
      <c r="T15" s="1">
        <v>55.725631313131316</v>
      </c>
      <c r="U15" s="1">
        <v>53.959680134680134</v>
      </c>
      <c r="V15" s="1">
        <v>59.272474747474746</v>
      </c>
      <c r="W15" s="1">
        <v>57.881691919191923</v>
      </c>
      <c r="X15" s="1">
        <v>56.171506734006734</v>
      </c>
      <c r="Y15" s="1">
        <v>54.160269360269361</v>
      </c>
      <c r="Z15" s="1">
        <v>51.870875420875421</v>
      </c>
      <c r="AA15" s="1">
        <v>59.634595959595963</v>
      </c>
      <c r="AB15" s="1">
        <v>58.559890572390572</v>
      </c>
      <c r="AC15" s="1">
        <v>57.230765993265997</v>
      </c>
      <c r="AD15" s="1">
        <v>55.725631313131316</v>
      </c>
      <c r="AE15" s="1">
        <v>53.959680134680134</v>
      </c>
      <c r="AF15" s="1">
        <v>60.302441077441081</v>
      </c>
      <c r="AG15" s="1">
        <v>59.901809764309768</v>
      </c>
      <c r="AH15" s="1">
        <v>59.250168350168352</v>
      </c>
      <c r="AI15" s="1">
        <v>58.500673400673406</v>
      </c>
      <c r="AJ15" s="1">
        <v>57.509259259259267</v>
      </c>
      <c r="AK15" s="1">
        <v>60.905303030303031</v>
      </c>
      <c r="AL15" s="1">
        <v>61.144276094276094</v>
      </c>
      <c r="AM15" s="1">
        <v>61.084848484848486</v>
      </c>
      <c r="AN15" s="1">
        <v>60.669023569023565</v>
      </c>
      <c r="AO15" s="1">
        <v>59.99431818181818</v>
      </c>
    </row>
    <row r="16" spans="1:41" x14ac:dyDescent="0.25">
      <c r="A16" t="s">
        <v>22</v>
      </c>
      <c r="B16" s="1">
        <v>5.0893693883277216</v>
      </c>
      <c r="C16" s="1">
        <v>5.1231411335578008</v>
      </c>
      <c r="D16" s="1">
        <v>5.1294437429854094</v>
      </c>
      <c r="E16" s="1">
        <v>5.108424523007856</v>
      </c>
      <c r="F16" s="1">
        <v>5.0601010101010102</v>
      </c>
      <c r="G16" s="1">
        <v>5.0754419191919196</v>
      </c>
      <c r="H16" s="1">
        <v>5.0953563411896745</v>
      </c>
      <c r="I16" s="1">
        <v>5.0904040404040405</v>
      </c>
      <c r="J16" s="1">
        <v>5.0557519640852968</v>
      </c>
      <c r="K16" s="1">
        <v>4.9995265151515147</v>
      </c>
      <c r="L16" s="1">
        <v>5.0252034231200904</v>
      </c>
      <c r="M16" s="1">
        <v>4.9918174803591473</v>
      </c>
      <c r="N16" s="1">
        <v>4.9375140291806963</v>
      </c>
      <c r="O16" s="1">
        <v>4.8750561167227842</v>
      </c>
      <c r="P16" s="1">
        <v>4.7924382716049392</v>
      </c>
      <c r="Q16" s="1">
        <v>4.9695496632996639</v>
      </c>
      <c r="R16" s="1">
        <v>4.8799908810325476</v>
      </c>
      <c r="S16" s="1">
        <v>4.7692304994388328</v>
      </c>
      <c r="T16" s="1">
        <v>4.6438026094276097</v>
      </c>
      <c r="U16" s="1">
        <v>4.4966400112233442</v>
      </c>
      <c r="V16" s="1">
        <v>4.9393728956228955</v>
      </c>
      <c r="W16" s="1">
        <v>4.8234743265993272</v>
      </c>
      <c r="X16" s="1">
        <v>4.6809588945005611</v>
      </c>
      <c r="Y16" s="1">
        <v>4.5133557800224464</v>
      </c>
      <c r="Z16" s="1">
        <v>4.3225729517396188</v>
      </c>
      <c r="AA16" s="1">
        <v>4.9695496632996639</v>
      </c>
      <c r="AB16" s="1">
        <v>4.8799908810325476</v>
      </c>
      <c r="AC16" s="1">
        <v>4.7692304994388328</v>
      </c>
      <c r="AD16" s="1">
        <v>4.6438026094276097</v>
      </c>
      <c r="AE16" s="1">
        <v>4.4966400112233442</v>
      </c>
      <c r="AF16" s="1">
        <v>5.0252034231200904</v>
      </c>
      <c r="AG16" s="1">
        <v>4.9918174803591473</v>
      </c>
      <c r="AH16" s="1">
        <v>4.9375140291806963</v>
      </c>
      <c r="AI16" s="1">
        <v>4.8750561167227842</v>
      </c>
      <c r="AJ16" s="1">
        <v>4.7924382716049392</v>
      </c>
      <c r="AK16" s="1">
        <v>5.0754419191919196</v>
      </c>
      <c r="AL16" s="1">
        <v>5.0953563411896745</v>
      </c>
      <c r="AM16" s="1">
        <v>5.0904040404040405</v>
      </c>
      <c r="AN16" s="1">
        <v>5.0557519640852968</v>
      </c>
      <c r="AO16" s="1">
        <v>4.9995265151515147</v>
      </c>
    </row>
    <row r="19" spans="1:5" x14ac:dyDescent="0.25">
      <c r="A19" t="s">
        <v>134</v>
      </c>
      <c r="B19" t="s">
        <v>131</v>
      </c>
      <c r="D19" t="s">
        <v>132</v>
      </c>
      <c r="E19" s="61" t="s">
        <v>14</v>
      </c>
    </row>
    <row r="20" spans="1:5" x14ac:dyDescent="0.25">
      <c r="A20" t="s">
        <v>1</v>
      </c>
      <c r="B20" s="1" cm="1">
        <f t="array" ref="B20">INDEX($B$3:$AO$14,MATCH(A20,$A$3:$A$14,0),MATCH($E$19&amp;$E$20,$B$1:$AO$1&amp;$B$2:$AO$2,0))</f>
        <v>4.8994528619528612</v>
      </c>
      <c r="D20" t="s">
        <v>133</v>
      </c>
      <c r="E20" s="61">
        <v>5</v>
      </c>
    </row>
    <row r="21" spans="1:5" x14ac:dyDescent="0.25">
      <c r="A21" t="s">
        <v>2</v>
      </c>
      <c r="B21" s="1" cm="1">
        <f t="array" ref="B21">INDEX($B$3:$AO$14,MATCH(A21,$A$3:$A$14,0),MATCH($E$19&amp;$E$20,$B$1:$AO$1&amp;$B$2:$AO$2,0))</f>
        <v>4.8689393939393932</v>
      </c>
    </row>
    <row r="22" spans="1:5" x14ac:dyDescent="0.25">
      <c r="A22" t="s">
        <v>3</v>
      </c>
      <c r="B22" s="1" cm="1">
        <f t="array" ref="B22">INDEX($B$3:$AO$14,MATCH(A22,$A$3:$A$14,0),MATCH($E$19&amp;$E$20,$B$1:$AO$1&amp;$B$2:$AO$2,0))</f>
        <v>5.086321548821549</v>
      </c>
    </row>
    <row r="23" spans="1:5" x14ac:dyDescent="0.25">
      <c r="A23" t="s">
        <v>4</v>
      </c>
      <c r="B23" s="1" cm="1">
        <f t="array" ref="B23">INDEX($B$3:$AO$14,MATCH(A23,$A$3:$A$14,0),MATCH($E$19&amp;$E$20,$B$1:$AO$1&amp;$B$2:$AO$2,0))</f>
        <v>5.3532407407407412</v>
      </c>
    </row>
    <row r="24" spans="1:5" x14ac:dyDescent="0.25">
      <c r="A24" t="s">
        <v>5</v>
      </c>
      <c r="B24" s="1" cm="1">
        <f t="array" ref="B24">INDEX($B$3:$AO$14,MATCH(A24,$A$3:$A$14,0),MATCH($E$19&amp;$E$20,$B$1:$AO$1&amp;$B$2:$AO$2,0))</f>
        <v>5.4549663299663296</v>
      </c>
    </row>
    <row r="25" spans="1:5" x14ac:dyDescent="0.25">
      <c r="A25" t="s">
        <v>6</v>
      </c>
      <c r="B25" s="1" cm="1">
        <f t="array" ref="B25">INDEX($B$3:$AO$14,MATCH(A25,$A$3:$A$14,0),MATCH($E$19&amp;$E$20,$B$1:$AO$1&amp;$B$2:$AO$2,0))</f>
        <v>4.6003367003367002</v>
      </c>
    </row>
    <row r="26" spans="1:5" x14ac:dyDescent="0.25">
      <c r="A26" t="s">
        <v>7</v>
      </c>
      <c r="B26" s="1" cm="1">
        <f t="array" ref="B26">INDEX($B$3:$AO$14,MATCH(A26,$A$3:$A$14,0),MATCH($E$19&amp;$E$20,$B$1:$AO$1&amp;$B$2:$AO$2,0))</f>
        <v>5.6037457912457915</v>
      </c>
    </row>
    <row r="27" spans="1:5" x14ac:dyDescent="0.25">
      <c r="A27" t="s">
        <v>8</v>
      </c>
      <c r="B27" s="1" cm="1">
        <f t="array" ref="B27">INDEX($B$3:$AO$14,MATCH(A27,$A$3:$A$14,0),MATCH($E$19&amp;$E$20,$B$1:$AO$1&amp;$B$2:$AO$2,0))</f>
        <v>4.9491161616161623</v>
      </c>
    </row>
    <row r="28" spans="1:5" x14ac:dyDescent="0.25">
      <c r="A28" t="s">
        <v>9</v>
      </c>
      <c r="B28" s="1" cm="1">
        <f t="array" ref="B28">INDEX($B$3:$AO$14,MATCH(A28,$A$3:$A$14,0),MATCH($E$19&amp;$E$20,$B$1:$AO$1&amp;$B$2:$AO$2,0))</f>
        <v>4.5620370370370376</v>
      </c>
    </row>
    <row r="29" spans="1:5" x14ac:dyDescent="0.25">
      <c r="A29" t="s">
        <v>10</v>
      </c>
      <c r="B29" s="1" cm="1">
        <f t="array" ref="B29">INDEX($B$3:$AO$14,MATCH(A29,$A$3:$A$14,0),MATCH($E$19&amp;$E$20,$B$1:$AO$1&amp;$B$2:$AO$2,0))</f>
        <v>5.4420875420875419</v>
      </c>
    </row>
    <row r="30" spans="1:5" x14ac:dyDescent="0.25">
      <c r="A30" t="s">
        <v>11</v>
      </c>
      <c r="B30" s="1" cm="1">
        <f t="array" ref="B30">INDEX($B$3:$AO$14,MATCH(A30,$A$3:$A$14,0),MATCH($E$19&amp;$E$20,$B$1:$AO$1&amp;$B$2:$AO$2,0))</f>
        <v>4.9105218855218853</v>
      </c>
    </row>
    <row r="31" spans="1:5" x14ac:dyDescent="0.25">
      <c r="A31" t="s">
        <v>12</v>
      </c>
      <c r="B31" s="1" cm="1">
        <f t="array" ref="B31">INDEX($B$3:$AO$14,MATCH(A31,$A$3:$A$14,0),MATCH($E$19&amp;$E$20,$B$1:$AO$1&amp;$B$2:$AO$2,0))</f>
        <v>5.3416245791245798</v>
      </c>
    </row>
    <row r="33" spans="1:19" ht="15.75" thickBot="1" x14ac:dyDescent="0.3"/>
    <row r="34" spans="1:19" ht="15.75" thickBot="1" x14ac:dyDescent="0.3">
      <c r="A34" s="103" t="s">
        <v>162</v>
      </c>
      <c r="B34" s="129"/>
      <c r="C34" s="129"/>
      <c r="D34" s="129"/>
      <c r="E34" s="129"/>
      <c r="F34" s="129"/>
      <c r="G34" s="104"/>
      <c r="I34" s="103" t="s">
        <v>172</v>
      </c>
      <c r="J34" s="129"/>
      <c r="K34" s="129"/>
      <c r="L34" s="129"/>
      <c r="M34" s="129"/>
      <c r="N34" s="129"/>
      <c r="O34" s="129"/>
      <c r="P34" s="104"/>
      <c r="R34" s="68" t="s">
        <v>207</v>
      </c>
      <c r="S34" s="70"/>
    </row>
    <row r="35" spans="1:19" ht="15.75" thickBot="1" x14ac:dyDescent="0.3">
      <c r="A35" s="68" t="s">
        <v>163</v>
      </c>
      <c r="B35" s="69" t="s">
        <v>160</v>
      </c>
      <c r="C35" s="69"/>
      <c r="D35" s="69" t="s">
        <v>164</v>
      </c>
      <c r="E35" s="69" t="s">
        <v>165</v>
      </c>
      <c r="F35" s="69" t="s">
        <v>166</v>
      </c>
      <c r="G35" s="70" t="s">
        <v>167</v>
      </c>
      <c r="I35" s="68" t="s">
        <v>163</v>
      </c>
      <c r="J35" s="69" t="s">
        <v>160</v>
      </c>
      <c r="K35" s="69"/>
      <c r="L35" s="69" t="s">
        <v>164</v>
      </c>
      <c r="M35" s="69" t="s">
        <v>165</v>
      </c>
      <c r="N35" s="69" t="s">
        <v>166</v>
      </c>
      <c r="O35" s="69" t="s">
        <v>173</v>
      </c>
      <c r="P35" s="70" t="s">
        <v>174</v>
      </c>
      <c r="R35" s="68" t="s">
        <v>201</v>
      </c>
      <c r="S35" s="70" t="s">
        <v>202</v>
      </c>
    </row>
    <row r="36" spans="1:19" x14ac:dyDescent="0.25">
      <c r="A36" s="62" t="str" cm="1">
        <f t="array" ref="A36:A41">_xlfn.UNIQUE(Tabela_Inversores[Fabricante])</f>
        <v>Sungrow</v>
      </c>
      <c r="B36" t="str" cm="1">
        <f t="array" ref="B36">_xlfn._xlws.FILTER(A36:A49,ISNUMBER(SEARCH(Fab_Inv,A36:A49)),"Não encontrado")</f>
        <v>Sofar</v>
      </c>
      <c r="D36" t="str" cm="1">
        <f t="array" ref="D36:D37">_xlfn._xlws.FILTER(Tabela_Inversores[Fabricante],ISNUMBER(SEARCH(Fab_Inv,Tabela_Inversores[Fabricante])),"Não encontrado")</f>
        <v>Sofar</v>
      </c>
      <c r="E36" t="str" cm="1">
        <f t="array" ref="E36:E37">_xlfn._xlws.FILTER(Tabela_Inversores[Modelo],Tabela_Inversores[Fabricante]=Fab_Inv)</f>
        <v>6KTLM-G2</v>
      </c>
      <c r="F36" cm="1">
        <f t="array" ref="F36:F37">_xlfn._xlws.FILTER(Tabela_Inversores[Potencia],Tabela_Inversores[Fabricante]=Fab_Inv)</f>
        <v>6</v>
      </c>
      <c r="G36" s="63" t="str" cm="1">
        <f t="array" ref="G36:G37">_xlfn._xlws.FILTER(Tabela_Inversores[Tipo],Tabela_Inversores[Fabricante]=Fab_Inv)</f>
        <v>BIFÁSICO</v>
      </c>
      <c r="I36" s="62" t="str" cm="1">
        <f t="array" ref="I36:I40">_xlfn.UNIQUE(Tabela_Modulos[Fabricante])</f>
        <v>Jinko</v>
      </c>
      <c r="J36" t="str" cm="1">
        <f t="array" ref="J36">_xlfn._xlws.FILTER(I36:I49,ISNUMBER(SEARCH(Fab_Mod,I36:I49)),"Não encontrado")</f>
        <v>DAH</v>
      </c>
      <c r="L36" t="str" cm="1">
        <f t="array" ref="L36">_xlfn._xlws.FILTER(Tabela_Modulos[Fabricante],ISNUMBER(SEARCH(Fab_Mod,Tabela_Modulos[Fabricante])),"Não encontrado")</f>
        <v>DAH</v>
      </c>
      <c r="M36" cm="1">
        <f t="array" ref="M36">_xlfn._xlws.FILTER(Tabela_Modulos[Modelo],Tabela_Modulos[Fabricante]=Fab_Mod)</f>
        <v>620</v>
      </c>
      <c r="N36" cm="1">
        <f t="array" ref="N36">_xlfn._xlws.FILTER(Tabela_Modulos[Potencia],Tabela_Modulos[Fabricante]=Fab_Mod)</f>
        <v>620</v>
      </c>
      <c r="O36" cm="1">
        <f t="array" ref="O36">_xlfn._xlws.FILTER(Tabela_Modulos[Largura],Tabela_Modulos[Fabricante]=Fab_Mod)</f>
        <v>1.1599999999999999</v>
      </c>
      <c r="P36" s="63" cm="1">
        <f t="array" ref="P36">_xlfn._xlws.FILTER(Tabela_Modulos[Altura],Tabela_Modulos[Fabricante]=Fab_Mod)</f>
        <v>2.38</v>
      </c>
      <c r="R36" s="62" t="str" cm="1">
        <f t="array" ref="R36:R38">_xlfn._xlws.FILTER(Tabela_Negociador[Nome],Tabela_Negociador[Nome]&lt;&gt;0)</f>
        <v>Eudes Aparecido Rola</v>
      </c>
      <c r="S36" s="96" cm="1">
        <f t="array" ref="S36:S38">_xlfn._xlws.FILTER(Tabela_Negociador[Telefone],Tabela_Negociador[Nome]&lt;&gt;0)</f>
        <v>66999380767</v>
      </c>
    </row>
    <row r="37" spans="1:19" x14ac:dyDescent="0.25">
      <c r="A37" s="62" t="str">
        <v>Growatt</v>
      </c>
      <c r="D37" t="str">
        <v>Sofar</v>
      </c>
      <c r="E37" t="str">
        <v>7.5KTLM</v>
      </c>
      <c r="F37">
        <v>7.5</v>
      </c>
      <c r="G37" s="63" t="str">
        <v>BIFÁSICO</v>
      </c>
      <c r="I37" s="62" t="str">
        <v>JA Solar</v>
      </c>
      <c r="O37" s="74"/>
      <c r="P37" s="63"/>
      <c r="R37" s="62" t="str">
        <v>Adalberto de C. Camera</v>
      </c>
      <c r="S37" s="96">
        <v>66997162761</v>
      </c>
    </row>
    <row r="38" spans="1:19" x14ac:dyDescent="0.25">
      <c r="A38" s="62" t="str">
        <v>Deye</v>
      </c>
      <c r="G38" s="63"/>
      <c r="I38" s="62" t="str">
        <v>Sunova</v>
      </c>
      <c r="P38" s="63"/>
      <c r="R38" s="62" t="str">
        <v>Outro</v>
      </c>
      <c r="S38" s="96">
        <v>0</v>
      </c>
    </row>
    <row r="39" spans="1:19" x14ac:dyDescent="0.25">
      <c r="A39" s="62" t="str">
        <v>Solis</v>
      </c>
      <c r="G39" s="63"/>
      <c r="I39" s="62" t="str">
        <v>DAH</v>
      </c>
      <c r="P39" s="63"/>
      <c r="R39" s="62"/>
      <c r="S39" s="96"/>
    </row>
    <row r="40" spans="1:19" x14ac:dyDescent="0.25">
      <c r="A40" s="62" t="str">
        <v>Sofar</v>
      </c>
      <c r="G40" s="63"/>
      <c r="I40" s="62" t="str">
        <v>Ronma</v>
      </c>
      <c r="P40" s="63"/>
      <c r="R40" s="62"/>
      <c r="S40" s="96"/>
    </row>
    <row r="41" spans="1:19" x14ac:dyDescent="0.25">
      <c r="A41" s="62" t="str">
        <v>Fronius</v>
      </c>
      <c r="G41" s="63"/>
      <c r="I41" s="62"/>
      <c r="P41" s="63"/>
      <c r="R41" s="62"/>
      <c r="S41" s="96"/>
    </row>
    <row r="42" spans="1:19" x14ac:dyDescent="0.25">
      <c r="A42" s="62"/>
      <c r="G42" s="63"/>
      <c r="I42" s="62"/>
      <c r="P42" s="63"/>
      <c r="R42" s="62"/>
      <c r="S42" s="96"/>
    </row>
    <row r="43" spans="1:19" x14ac:dyDescent="0.25">
      <c r="A43" s="62"/>
      <c r="G43" s="63"/>
      <c r="I43" s="62"/>
      <c r="P43" s="63"/>
      <c r="R43" s="62"/>
      <c r="S43" s="96"/>
    </row>
    <row r="44" spans="1:19" x14ac:dyDescent="0.25">
      <c r="A44" s="62"/>
      <c r="G44" s="63"/>
      <c r="I44" s="62"/>
      <c r="P44" s="63"/>
      <c r="R44" s="62"/>
      <c r="S44" s="96"/>
    </row>
    <row r="45" spans="1:19" x14ac:dyDescent="0.25">
      <c r="A45" s="62"/>
      <c r="G45" s="63"/>
      <c r="I45" s="62"/>
      <c r="P45" s="63"/>
      <c r="R45" s="62"/>
      <c r="S45" s="96"/>
    </row>
    <row r="46" spans="1:19" x14ac:dyDescent="0.25">
      <c r="A46" s="62"/>
      <c r="G46" s="63"/>
      <c r="I46" s="62"/>
      <c r="P46" s="63"/>
      <c r="R46" s="62"/>
      <c r="S46" s="96"/>
    </row>
    <row r="47" spans="1:19" x14ac:dyDescent="0.25">
      <c r="A47" s="62"/>
      <c r="G47" s="63"/>
      <c r="I47" s="62"/>
      <c r="P47" s="63"/>
      <c r="R47" s="62"/>
      <c r="S47" s="96"/>
    </row>
    <row r="48" spans="1:19" x14ac:dyDescent="0.25">
      <c r="A48" s="62"/>
      <c r="G48" s="63"/>
      <c r="I48" s="62"/>
      <c r="P48" s="63"/>
      <c r="R48" s="62"/>
      <c r="S48" s="96"/>
    </row>
    <row r="49" spans="1:19" x14ac:dyDescent="0.25">
      <c r="A49" s="62"/>
      <c r="G49" s="63"/>
      <c r="I49" s="62"/>
      <c r="P49" s="63"/>
      <c r="R49" s="62"/>
      <c r="S49" s="96"/>
    </row>
    <row r="50" spans="1:19" x14ac:dyDescent="0.25">
      <c r="A50" s="62"/>
      <c r="G50" s="63"/>
      <c r="I50" s="62"/>
      <c r="P50" s="63"/>
      <c r="R50" s="62"/>
      <c r="S50" s="96"/>
    </row>
    <row r="51" spans="1:19" x14ac:dyDescent="0.25">
      <c r="A51" s="62"/>
      <c r="G51" s="63"/>
      <c r="I51" s="62"/>
      <c r="P51" s="63"/>
      <c r="R51" s="62"/>
      <c r="S51" s="96"/>
    </row>
    <row r="52" spans="1:19" x14ac:dyDescent="0.25">
      <c r="A52" s="62"/>
      <c r="G52" s="63"/>
      <c r="I52" s="62"/>
      <c r="P52" s="63"/>
      <c r="R52" s="62"/>
      <c r="S52" s="96"/>
    </row>
    <row r="53" spans="1:19" x14ac:dyDescent="0.25">
      <c r="A53" s="62"/>
      <c r="G53" s="63"/>
      <c r="I53" s="62"/>
      <c r="P53" s="63"/>
      <c r="R53" s="62"/>
      <c r="S53" s="96"/>
    </row>
    <row r="54" spans="1:19" x14ac:dyDescent="0.25">
      <c r="A54" s="62"/>
      <c r="G54" s="63"/>
      <c r="I54" s="62"/>
      <c r="P54" s="63"/>
      <c r="R54" s="62"/>
      <c r="S54" s="96"/>
    </row>
    <row r="55" spans="1:19" ht="15.75" thickBot="1" x14ac:dyDescent="0.3">
      <c r="A55" s="64"/>
      <c r="B55" s="65"/>
      <c r="C55" s="65"/>
      <c r="D55" s="65"/>
      <c r="E55" s="65"/>
      <c r="F55" s="65"/>
      <c r="G55" s="66"/>
      <c r="I55" s="64"/>
      <c r="J55" s="65"/>
      <c r="K55" s="65"/>
      <c r="L55" s="65"/>
      <c r="M55" s="65"/>
      <c r="N55" s="65"/>
      <c r="O55" s="65"/>
      <c r="P55" s="66"/>
      <c r="R55" s="64"/>
      <c r="S55" s="97"/>
    </row>
  </sheetData>
  <mergeCells count="2">
    <mergeCell ref="A34:G34"/>
    <mergeCell ref="I34:P34"/>
  </mergeCells>
  <dataValidations disablePrompts="1" count="2">
    <dataValidation type="list" allowBlank="1" showInputMessage="1" showErrorMessage="1" sqref="E19" xr:uid="{19B75DF7-EB17-48C4-BEEA-3A7829625DB9}">
      <formula1>"N,NE,E,SE,S,SO,O,NO"</formula1>
    </dataValidation>
    <dataValidation type="list" allowBlank="1" showInputMessage="1" showErrorMessage="1" sqref="E20" xr:uid="{842ED07E-AF22-48F8-8E37-F5A7640073B5}">
      <formula1>"5,10,15,20,25"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41</vt:i4>
      </vt:variant>
    </vt:vector>
  </HeadingPairs>
  <TitlesOfParts>
    <vt:vector size="46" baseType="lpstr">
      <vt:lpstr>Sistema</vt:lpstr>
      <vt:lpstr>Energia</vt:lpstr>
      <vt:lpstr>Financeiro</vt:lpstr>
      <vt:lpstr>Database</vt:lpstr>
      <vt:lpstr>Auxiliar</vt:lpstr>
      <vt:lpstr>Aliquota_imposto</vt:lpstr>
      <vt:lpstr>Energia!Area_de_impressao</vt:lpstr>
      <vt:lpstr>Sistema!Area_de_impressao</vt:lpstr>
      <vt:lpstr>Consumo_anual</vt:lpstr>
      <vt:lpstr>Consumo_Mensal</vt:lpstr>
      <vt:lpstr>Custo_calculado</vt:lpstr>
      <vt:lpstr>Custo_final_sistema</vt:lpstr>
      <vt:lpstr>Custos_adicionais</vt:lpstr>
      <vt:lpstr>Dif_custo</vt:lpstr>
      <vt:lpstr>Fab_Inv</vt:lpstr>
      <vt:lpstr>Fab_Mod</vt:lpstr>
      <vt:lpstr>Fator_de_preço</vt:lpstr>
      <vt:lpstr>Gasto_anual_Aprox</vt:lpstr>
      <vt:lpstr>Geração_Total</vt:lpstr>
      <vt:lpstr>Inclinação</vt:lpstr>
      <vt:lpstr>Inflação_anual</vt:lpstr>
      <vt:lpstr>Ligacao</vt:lpstr>
      <vt:lpstr>Mod_Inv</vt:lpstr>
      <vt:lpstr>Mod_Mod</vt:lpstr>
      <vt:lpstr>Negociador</vt:lpstr>
      <vt:lpstr>Orientacao</vt:lpstr>
      <vt:lpstr>P_sis</vt:lpstr>
      <vt:lpstr>Payback</vt:lpstr>
      <vt:lpstr>Pot._do_Sistema</vt:lpstr>
      <vt:lpstr>Pot_do_sis</vt:lpstr>
      <vt:lpstr>Pot_Inversor</vt:lpstr>
      <vt:lpstr>Pot_modulo</vt:lpstr>
      <vt:lpstr>Pot_real_do_sistema</vt:lpstr>
      <vt:lpstr>Potencia_do_inversor</vt:lpstr>
      <vt:lpstr>Preço_calculado</vt:lpstr>
      <vt:lpstr>Preço_de_venda_final</vt:lpstr>
      <vt:lpstr>Qtde._de_inv.</vt:lpstr>
      <vt:lpstr>Qtde_min_de_modulos</vt:lpstr>
      <vt:lpstr>Rendimento</vt:lpstr>
      <vt:lpstr>Tipo</vt:lpstr>
      <vt:lpstr>TIR</vt:lpstr>
      <vt:lpstr>Valor</vt:lpstr>
      <vt:lpstr>Valor_do_imposto</vt:lpstr>
      <vt:lpstr>Valor_do_investimento</vt:lpstr>
      <vt:lpstr>Valor_do_kit</vt:lpstr>
      <vt:lpstr>Valor_Médio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Engenharia</dc:creator>
  <cp:lastModifiedBy>Adalberto de Carvalho Camera</cp:lastModifiedBy>
  <cp:lastPrinted>2023-11-06T15:12:52Z</cp:lastPrinted>
  <dcterms:created xsi:type="dcterms:W3CDTF">2015-06-05T18:19:34Z</dcterms:created>
  <dcterms:modified xsi:type="dcterms:W3CDTF">2026-06-08T11:57:03Z</dcterms:modified>
</cp:coreProperties>
</file>